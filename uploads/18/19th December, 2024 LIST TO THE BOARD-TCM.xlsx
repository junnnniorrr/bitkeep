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17"/>
  <workbookPr/>
  <mc:AlternateContent xmlns:mc="http://schemas.openxmlformats.org/markup-compatibility/2006">
    <mc:Choice Requires="x15">
      <x15ac:absPath xmlns:x15ac="http://schemas.microsoft.com/office/spreadsheetml/2010/11/ac" url="C:\Users\bampomah\Desktop\barbara desktop\WORK STUFF\2024\TCM\"/>
    </mc:Choice>
  </mc:AlternateContent>
  <xr:revisionPtr revIDLastSave="0" documentId="8_{6923B432-5AFD-4B70-A7DF-705D0C024E78}" xr6:coauthVersionLast="47" xr6:coauthVersionMax="47" xr10:uidLastSave="{00000000-0000-0000-0000-000000000000}"/>
  <bookViews>
    <workbookView xWindow="0" yWindow="0" windowWidth="25125" windowHeight="12180" xr2:uid="{00000000-000D-0000-FFFF-FFFF00000000}"/>
  </bookViews>
  <sheets>
    <sheet name="BOARD APPROVAL " sheetId="1" r:id="rId1"/>
    <sheet name="ADMIN APPROVAL " sheetId="2" r:id="rId2"/>
    <sheet name="NUMBERING" sheetId="3" r:id="rId3"/>
    <sheet name="TYPE APPROVAL" sheetId="4" r:id="rId4"/>
    <sheet name="Sheet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1" l="1"/>
  <c r="A34" i="1"/>
  <c r="A35" i="1"/>
  <c r="A32" i="1"/>
  <c r="A30" i="1"/>
  <c r="A31" i="1"/>
  <c r="A28" i="1"/>
  <c r="A29" i="1"/>
  <c r="A27" i="1"/>
  <c r="A31" i="4"/>
  <c r="A32" i="4"/>
  <c r="A33" i="4"/>
  <c r="A34" i="4"/>
  <c r="A35" i="4"/>
  <c r="A36" i="4"/>
  <c r="A37" i="4"/>
  <c r="A30" i="4"/>
  <c r="A25" i="4"/>
  <c r="A26" i="4"/>
  <c r="I21" i="1"/>
  <c r="I6" i="1"/>
  <c r="I5" i="1"/>
  <c r="I33" i="1"/>
  <c r="I34" i="1"/>
  <c r="I38" i="1"/>
  <c r="I27" i="1"/>
  <c r="I8" i="1"/>
  <c r="I9" i="1"/>
  <c r="I10" i="1"/>
  <c r="I12" i="1"/>
  <c r="I15" i="1"/>
  <c r="I18" i="1"/>
  <c r="I22" i="1"/>
  <c r="I11" i="1"/>
  <c r="I32" i="1"/>
  <c r="I31" i="1"/>
  <c r="I30" i="1"/>
  <c r="I29" i="1"/>
  <c r="I28" i="1"/>
  <c r="I26" i="1"/>
  <c r="I19" i="1"/>
  <c r="I14" i="1"/>
  <c r="I13" i="1"/>
  <c r="I23" i="1"/>
  <c r="I20" i="1"/>
  <c r="I17" i="1"/>
  <c r="I7" i="1"/>
  <c r="A11" i="4"/>
  <c r="A12" i="4" s="1"/>
  <c r="A13" i="4" s="1"/>
  <c r="A14" i="4" s="1"/>
  <c r="A15" i="4" s="1"/>
  <c r="A16" i="4" s="1"/>
  <c r="A17" i="4" s="1"/>
  <c r="A11" i="3"/>
  <c r="A12" i="3" s="1"/>
  <c r="A13" i="3" s="1"/>
  <c r="A14" i="3" s="1"/>
  <c r="A15" i="3" s="1"/>
  <c r="A18" i="4" l="1"/>
  <c r="A19" i="4" s="1"/>
  <c r="A20" i="4" s="1"/>
  <c r="A21" i="4" s="1"/>
  <c r="A22" i="4" s="1"/>
  <c r="A2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tc={9124A40B-8FCE-40FC-9523-FF3028E11452}</author>
    <author>tc={0F9489D3-355B-4ABC-B1BC-B806D8953377}</author>
    <author>tc={BADE6165-B516-4980-BC48-162574FCAA0B}</author>
    <author>tc={4DB9A10C-9B79-4A03-AF06-7383BBAD747B}</author>
    <author>tc={7D1176E7-8F10-49B9-BA00-AAF3E9C94EDF}</author>
    <author>tc={3204679B-A36D-49F7-AD94-C47C40367B68}</author>
    <author>tc={7775B52C-68E0-42BD-9985-7E1063E2A929}</author>
    <author>tc={826EE1D4-A094-4597-87F6-EFA86B9594FB}</author>
    <author>tc={05BAA5CE-9036-49B0-856C-CB9F9B37017F}</author>
    <author>tc={2A3246FE-EB03-4326-8F57-F4A90B015058}</author>
    <author>tc={64168242-CE7D-4155-B5BC-63A03B8C2C4F}</author>
    <author>tc={5EB9666C-9A81-42A2-9569-49EDDBE01EF7}</author>
    <author>tc={AB5152CA-6723-46E6-B1A8-1B9F7EAFE5C3}</author>
    <author>tc={0C90FB6D-5116-4E88-9D5E-437B8CBDF7BE}</author>
  </authors>
  <commentList>
    <comment ref="I10" authorId="0" shapeId="0" xr:uid="{9124A40B-8FCE-40FC-9523-FF3028E11452}">
      <text>
        <t>[Threaded comment]
Your version of Excel allows you to read this threaded comment; however, any edits to it will get removed if the file is opened in a newer version of Excel. Learn more: https://go.microsoft.com/fwlink/?linkid=870924
Comment:
    Kindly check the fees again. If the application fee 3850, why is the authorisation fee lower than that of Akim Oda?</t>
      </text>
    </comment>
    <comment ref="H11" authorId="1" shapeId="0" xr:uid="{0F9489D3-355B-4ABC-B1BC-B806D8953377}">
      <text>
        <t>[Threaded comment]
Your version of Excel allows you to read this threaded comment; however, any edits to it will get removed if the file is opened in a newer version of Excel. Learn more: https://go.microsoft.com/fwlink/?linkid=870924
Comment:
    The application fee is less than that of Tamale but the authorisation fee is the same as that of Tamale. Please check.</t>
      </text>
    </comment>
    <comment ref="I13" authorId="2" shapeId="0" xr:uid="{BADE6165-B516-4980-BC48-162574FCAA0B}">
      <text>
        <t>[Threaded comment]
Your version of Excel allows you to read this threaded comment; however, any edits to it will get removed if the file is opened in a newer version of Excel. Learn more: https://go.microsoft.com/fwlink/?linkid=870924
Comment:
    Check this one as well.</t>
      </text>
    </comment>
    <comment ref="H14" authorId="3" shapeId="0" xr:uid="{4DB9A10C-9B79-4A03-AF06-7383BBAD747B}">
      <text>
        <t>[Threaded comment]
Your version of Excel allows you to read this threaded comment; however, any edits to it will get removed if the file is opened in a newer version of Excel. Learn more: https://go.microsoft.com/fwlink/?linkid=870924
Comment:
    Check the application and authorisation fees.</t>
      </text>
    </comment>
    <comment ref="H15" authorId="4" shapeId="0" xr:uid="{7D1176E7-8F10-49B9-BA00-AAF3E9C94EDF}">
      <text>
        <t>[Threaded comment]
Your version of Excel allows you to read this threaded comment; however, any edits to it will get removed if the file is opened in a newer version of Excel. Learn more: https://go.microsoft.com/fwlink/?linkid=870924
Comment:
    Check the authorisation fees again.</t>
      </text>
    </comment>
    <comment ref="I16" authorId="5" shapeId="0" xr:uid="{3204679B-A36D-49F7-AD94-C47C40367B68}">
      <text>
        <t>[Threaded comment]
Your version of Excel allows you to read this threaded comment; however, any edits to it will get removed if the file is opened in a newer version of Excel. Learn more: https://go.microsoft.com/fwlink/?linkid=870924
Comment:
    The authorisation fee is not correct.</t>
      </text>
    </comment>
    <comment ref="H17" authorId="6" shapeId="0" xr:uid="{7775B52C-68E0-42BD-9985-7E1063E2A929}">
      <text>
        <t>[Threaded comment]
Your version of Excel allows you to read this threaded comment; however, any edits to it will get removed if the file is opened in a newer version of Excel. Learn more: https://go.microsoft.com/fwlink/?linkid=870924
Comment:
    Application fee for Tamale is not correct.</t>
      </text>
    </comment>
    <comment ref="I18" authorId="7" shapeId="0" xr:uid="{826EE1D4-A094-4597-87F6-EFA86B9594FB}">
      <text>
        <t>[Threaded comment]
Your version of Excel allows you to read this threaded comment; however, any edits to it will get removed if the file is opened in a newer version of Excel. Learn more: https://go.microsoft.com/fwlink/?linkid=870924
Comment:
    Check the authorisation fees.</t>
      </text>
    </comment>
    <comment ref="H19" authorId="8" shapeId="0" xr:uid="{05BAA5CE-9036-49B0-856C-CB9F9B37017F}">
      <text>
        <t>[Threaded comment]
Your version of Excel allows you to read this threaded comment; however, any edits to it will get removed if the file is opened in a newer version of Excel. Learn more: https://go.microsoft.com/fwlink/?linkid=870924
Comment:
    Is the application fee for Ho 1925 or 2887.50. Let's be consistent.</t>
      </text>
    </comment>
    <comment ref="I19" authorId="9" shapeId="0" xr:uid="{2A3246FE-EB03-4326-8F57-F4A90B015058}">
      <text>
        <t>[Threaded comment]
Your version of Excel allows you to read this threaded comment; however, any edits to it will get removed if the file is opened in a newer version of Excel. Learn more: https://go.microsoft.com/fwlink/?linkid=870924
Comment:
    Check the authorisation fees.</t>
      </text>
    </comment>
    <comment ref="H20" authorId="10" shapeId="0" xr:uid="{64168242-CE7D-4155-B5BC-63A03B8C2C4F}">
      <text>
        <t>[Threaded comment]
Your version of Excel allows you to read this threaded comment; however, any edits to it will get removed if the file is opened in a newer version of Excel. Learn more: https://go.microsoft.com/fwlink/?linkid=870924
Comment:
    Check the application fee.</t>
      </text>
    </comment>
    <comment ref="I21" authorId="11" shapeId="0" xr:uid="{5EB9666C-9A81-42A2-9569-49EDDBE01EF7}">
      <text>
        <t>[Threaded comment]
Your version of Excel allows you to read this threaded comment; however, any edits to it will get removed if the file is opened in a newer version of Excel. Learn more: https://go.microsoft.com/fwlink/?linkid=870924
Comment:
    Check the authorisation fee.</t>
      </text>
    </comment>
    <comment ref="H27" authorId="12" shapeId="0" xr:uid="{AB5152CA-6723-46E6-B1A8-1B9F7EAFE5C3}">
      <text>
        <t>[Threaded comment]
Your version of Excel allows you to read this threaded comment; however, any edits to it will get removed if the file is opened in a newer version of Excel. Learn more: https://go.microsoft.com/fwlink/?linkid=870924
Comment:
    Check the application fee.</t>
      </text>
    </comment>
    <comment ref="H33" authorId="13" shapeId="0" xr:uid="{0C90FB6D-5116-4E88-9D5E-437B8CBDF7BE}">
      <text>
        <t>[Threaded comment]
Your version of Excel allows you to read this threaded comment; however, any edits to it will get removed if the file is opened in a newer version of Excel. Learn more: https://go.microsoft.com/fwlink/?linkid=870924
Comment:
    Check the application fee and authorisation fee.</t>
      </text>
    </comment>
  </commentList>
</comments>
</file>

<file path=xl/sharedStrings.xml><?xml version="1.0" encoding="utf-8"?>
<sst xmlns="http://schemas.openxmlformats.org/spreadsheetml/2006/main" count="750" uniqueCount="361">
  <si>
    <t>RECOMMENDATIONS TO THE BOARD FOLLOWING THE TECHNICAL COMMITTEE MEETING HELD ON 19TH  DECEMBER, 2024</t>
  </si>
  <si>
    <t xml:space="preserve"> </t>
  </si>
  <si>
    <t>NEW FM APPLICATIONS</t>
  </si>
  <si>
    <t>NO.</t>
  </si>
  <si>
    <t>NAME OF COMPANY</t>
  </si>
  <si>
    <t>DIRECTORS</t>
  </si>
  <si>
    <t>SHAREHOLDERS</t>
  </si>
  <si>
    <t>TYPE OF SERVICE</t>
  </si>
  <si>
    <t>COVERAGE</t>
  </si>
  <si>
    <t>LOCATION</t>
  </si>
  <si>
    <t>REMARKS</t>
  </si>
  <si>
    <t>EXPECTED PROVISIONAL AUTHORISATION FEES (GHS)</t>
  </si>
  <si>
    <t>JEGEDE MULTIMEDIA LTD</t>
  </si>
  <si>
    <t>1. SEIDU MOHAMMED
2. MUHAZU SAEED JIBRIL</t>
  </si>
  <si>
    <t>1. MUHAZU SAEED JIBRIL</t>
  </si>
  <si>
    <t>COMMERCIAL FM</t>
  </si>
  <si>
    <t>45KM</t>
  </si>
  <si>
    <t>TAMALE</t>
  </si>
  <si>
    <t>1. APPLICANT HAS PROVIDED ALL THE REQUISITE DOCUMENTS PER THE GUIDELINES FOR BROADCASTING AUTHORISATION.
2. THE COMPANY HAS PAID THE REQUISITE APPLICATION FEE (GHS2,887.50) 
3. APPLICATION IS RECOMMENDED TO THE BOARD FOR CONSIDERATION.</t>
  </si>
  <si>
    <t>BALIBALIBA BROADCASTING NETWORK LTD</t>
  </si>
  <si>
    <t>1. ISSAKA MOUKUTARU</t>
  </si>
  <si>
    <t>1. ISSAKA MOUKUTARU
2.ABUBAKAR ZOUKALINE
3.ADIZA MUSAH</t>
  </si>
  <si>
    <t>25KM</t>
  </si>
  <si>
    <t>ABOTOASE</t>
  </si>
  <si>
    <t>1. APPLICANT HAS PROVIDED ALL THE REQUISITE DOCUMENTS PER THE GUIDELINES FOR BROADCASTING AUTHORISATION.
2. THE COMPANY HAS PAID THE REQUISITE APPLICATION FEE (GHS1,925.00) 
3. APPLICATION IS RECOMMENDED TO THE BOARD FOR CONSIDERATION.</t>
  </si>
  <si>
    <t>FADHAB INVESTMENT LIMITED</t>
  </si>
  <si>
    <t>1. ASMAWU SALIFU
2. HABIB IDDRISU</t>
  </si>
  <si>
    <t>DE NKUNIM LIMITED</t>
  </si>
  <si>
    <t>1.SAMUEL AKWATEY AMELEY
2.EMMANUEL AYIREBI-ACQUAH
3.DANIEL KWAME DEGBOR</t>
  </si>
  <si>
    <t>1.SAMUEL AKWATEY AMELEY</t>
  </si>
  <si>
    <t>MANKESSIM</t>
  </si>
  <si>
    <t>BIG BOSS MULTIMEDIA LTD</t>
  </si>
  <si>
    <t>1. KWAKU ASSOKU ADJEPONG
2. OPHELIA ADJEPONG</t>
  </si>
  <si>
    <t>AKIM ODA</t>
  </si>
  <si>
    <t>ARCHFIL CONSULT LTD</t>
  </si>
  <si>
    <t>1. JULIANNA KISSI ADUAKO
2. JESSE KWAMINA BARAK MENSAH</t>
  </si>
  <si>
    <t>1. JULIANNA KISSI ADUAKO</t>
  </si>
  <si>
    <t>OYOKO, EASTERN REGION</t>
  </si>
  <si>
    <t>MENCH LIMITED COMPANY</t>
  </si>
  <si>
    <t>1. NAA ARDIWAH TAGOE
2. NATHANAEL AMO
3. MAWIAH KADIRI
4. HELLEN NAA OTOO
5. CATHERINE ANTWIWAA FABBI</t>
  </si>
  <si>
    <t>1. MAWIAH KADIRI</t>
  </si>
  <si>
    <t>WA</t>
  </si>
  <si>
    <t>SAYKAD COMPANY LIMITED</t>
  </si>
  <si>
    <t>1. YASMIN WUNPINI KADRI
2. SAKIB ISSIFU KADRI</t>
  </si>
  <si>
    <t>DAMONGO</t>
  </si>
  <si>
    <t>GABRITECH GHANA LIMITED</t>
  </si>
  <si>
    <t>1. MAWIAH KADIRI
2. CHUBIRA MICHEAL CHIKA</t>
  </si>
  <si>
    <t>HO</t>
  </si>
  <si>
    <t>SUNYANI</t>
  </si>
  <si>
    <t>1. CATHRINE ANWIWAA FABBI
2. HELEN NAA OTOO
3. MAWIAH KADIRI
4. NAA ARDIWAH TAGOES
5. AMO EKOW SESY NATHANAEL</t>
  </si>
  <si>
    <t>BOLGATANGA</t>
  </si>
  <si>
    <t>ALMIGHTY N COMPANY LIMITED</t>
  </si>
  <si>
    <t>1. KINGSLEY  NANA OPOKU
2. NANA EKUA OPOKU</t>
  </si>
  <si>
    <t>TAKORADI</t>
  </si>
  <si>
    <t>1. APPLICANT HAS PROVIDED ALL THE REQUISITE DOCUMENTS PER THE GUIDELINES FOR BROADCASTING AUTHORISATION.
2. THE COMPANY HAS PAID THE REQUISITE APPLICATION FEE (GHS3,850.00) 
3. APPLICATION IS RECOMMENDED TO THE BOARD FOR CONSIDERATION.</t>
  </si>
  <si>
    <t>BLACKSTONE MEDIA LTD</t>
  </si>
  <si>
    <t>1.BENJAMIN ADU-OWUSU
2. GABRIEL ANNOR ACKAH
3.NAT KWABENA ANOKYE ADISI</t>
  </si>
  <si>
    <t>1.BENJAMIN ADU-OWUSU
2. GROUPE BENMORE LIMITED
3.NAT KWABENA ANOKYE ADISI</t>
  </si>
  <si>
    <t>7DS LIMITED</t>
  </si>
  <si>
    <t>1. CHARLES NINSON
2. PHILEMON OKOH AGYEMANG</t>
  </si>
  <si>
    <t>1. PHILEMON OKOH AGYEMANG</t>
  </si>
  <si>
    <t>DAMBAI</t>
  </si>
  <si>
    <t>KEKELI HOTEL LIMITED</t>
  </si>
  <si>
    <t>1.LIVINGSTONE KOMLA BUAMA
2. FRANK KWAME ANKU
3.PROSPER MENSAH KOFI ATTAKEY1</t>
  </si>
  <si>
    <t>1. LIVINGSTONE KOMLA BUAMA</t>
  </si>
  <si>
    <t>LESSPAY TRADING LIMITED</t>
  </si>
  <si>
    <t>1. MUSHARAFA ALHASAN ALOLO
2. MUTAKA ALOLO ALHASAN</t>
  </si>
  <si>
    <t>1. MUTAKA ALOLO ALHASAN</t>
  </si>
  <si>
    <t>1. BENJAMIN ADU-OWUSU
2. GABRIEL ANNOR ACKAH
3. NAT KWABENA ANOKYE ADISI</t>
  </si>
  <si>
    <t>1. BENJAMIN ADU-OWUSU
2. GROUPE BENMORE LIMITED
3. NAT KWABENA ANOKYE ADISI</t>
  </si>
  <si>
    <t>CAPE COAST</t>
  </si>
  <si>
    <t>BELBOA RESOURCES LTD</t>
  </si>
  <si>
    <t>1. ARMSTRONG ESAAH 
2. PRISCELLA BOATENG</t>
  </si>
  <si>
    <t>DUA YAW NKWANTA (AHAFO)</t>
  </si>
  <si>
    <t>1. APPLICANT HAS PROVIDED ALL THE REQUISITE DOCUMENTS PER THE GUIDELINES FOR BROADCASTING AUTHORISATION.
2. THE COMPANY HAS PAID THE REQUISITE APPLICATION FEE (GHS770.00) 
3. APPLICATION IS RECOMMENDED TO THE BOARD FOR CONSIDERATION.</t>
  </si>
  <si>
    <t>KUSAUG RADIO LBG</t>
  </si>
  <si>
    <t>1. DAVID ANNIEYA
2.STEPHEN ANABILLA</t>
  </si>
  <si>
    <t>N/A</t>
  </si>
  <si>
    <t>COMMUNITY FM</t>
  </si>
  <si>
    <t>5KM</t>
  </si>
  <si>
    <t>ANIISI (UPPER EAST)</t>
  </si>
  <si>
    <t>1. APPLICANT HAS PROVIDED ALL THE REQUISITE DOCUMENTS PER THE GUIDELINES FOR BROADCASTING AUTHORISATION.
2. THE COMPANY HAS PAID THE REQUISITE APPLICATION FEE (GHS385.00) 
3. APPLICATION IS RECOMMENDED TO THE BOARD FOR CONSIDERATION.</t>
  </si>
  <si>
    <t>NEW FM APPLICATIONS (EXISTING COMPANIES WHO APPLIED AFTER EXPIRY)</t>
  </si>
  <si>
    <t>ESTEEN GATE AND SUPPLY OF GENERAL GOODS AND MEDIA LIMITED (FORMERLY GOODLIFE BROADCASTING LTD)</t>
  </si>
  <si>
    <t>1. LEONARD KWAKU SOKU
2. GRACE LAMISI SOKU</t>
  </si>
  <si>
    <t>ACCRA</t>
  </si>
  <si>
    <t>2KB MEDIA LIMITED</t>
  </si>
  <si>
    <t>1.MARGARET ASOR AGYEMANG
2.KWADWO BAAH AGYEMANG</t>
  </si>
  <si>
    <t>1. KWADWI BAAH AGYEMANG</t>
  </si>
  <si>
    <t>AGOGO</t>
  </si>
  <si>
    <t>TERAONE MEDIA LTD</t>
  </si>
  <si>
    <t>1. ABDUL-GANIU USSIF
2. FOSTER BLESSED</t>
  </si>
  <si>
    <t>1. FOSTER BLESSSED</t>
  </si>
  <si>
    <t>KUMASI</t>
  </si>
  <si>
    <t>WONTUMI MULTIMEDIA LTD</t>
  </si>
  <si>
    <t>1. BERNARD ANTWI-BOASIAKO
2. LINDA ANTWI-BOASIAKO</t>
  </si>
  <si>
    <t>TRINITY FM LIMITED</t>
  </si>
  <si>
    <t>1. YAA FOSU
2. KWABENA KESSE</t>
  </si>
  <si>
    <t>ASAASE BROADCASTING LIMITED</t>
  </si>
  <si>
    <t>1. CECILIA NKIRU BALOWU
2.CHARLES KWESI MENSAH
3.ELIZABETH AKUA OHENE
4. GABBY ASARE OKYERE DARKO
5. JOSEPH BOAKYE OFORI ATTA
6. JOSEPH KOJO ROBERTS-MENSAH
7.NANA ADJOA HACKMAN
8. REGINALD DANIEL LARYEA</t>
  </si>
  <si>
    <t>1. EBOW TANDOH BREW-HAMMOND
2. ELIZABETH AKUA OHENE
3. EMMANUEL OHEMENG
4. GABBY ASARE OKYERE DARKO
5.JOSEPH BOAKYE OFORI ATTA
6. JOSEPH KOJO ROBERTS-MENSAH
7.NANA ADJOA HACKMAN
8. NANA YAA YEBOAH MENSAH
9. PRINCE MOSES OFORI-ATTA
10. REGINALD DANIEL LARYEA</t>
  </si>
  <si>
    <t>FREE MINDS COMMUNICATIONS LIMITED</t>
  </si>
  <si>
    <t>1. COMFORT ANIAGYEI
2.MARTIN ASARE-ANIAGYE</t>
  </si>
  <si>
    <t>TEMA</t>
  </si>
  <si>
    <t>CLICKSHOT MULTIMEDIA LIMITED</t>
  </si>
  <si>
    <t>1. ATO PANFORD
2. EBENEZER PANFORD</t>
  </si>
  <si>
    <t>1. ATO PANFORD</t>
  </si>
  <si>
    <t>SHAMA</t>
  </si>
  <si>
    <t>FARICH COMPANY LIMITED</t>
  </si>
  <si>
    <t>1. FUSEINI FATAWU
2.CHARITY ADU GYAMFI</t>
  </si>
  <si>
    <t>SALAGA</t>
  </si>
  <si>
    <t>TUNSUNG RADIO</t>
  </si>
  <si>
    <t>1. ABDUL-RAHIM ABDULAI
2. HUMU AWUDU</t>
  </si>
  <si>
    <t>NAYIRI, WA</t>
  </si>
  <si>
    <t>RENEWAL FM APPLICATIONS</t>
  </si>
  <si>
    <t>SANKOFA RADIO AND TV LIMITED COMPANY</t>
  </si>
  <si>
    <t>1. EMAANUEL OSEI DARKO
2. ABA OSEI DARKO</t>
  </si>
  <si>
    <t>1. EMMANUEL OSEI DARKO</t>
  </si>
  <si>
    <t xml:space="preserve">NEW TV APPLICATIONS  </t>
  </si>
  <si>
    <t>BLACKSTONE MEDIA LIMITED</t>
  </si>
  <si>
    <t xml:space="preserve">SATELLITE TV </t>
  </si>
  <si>
    <t>NATIONWIDE</t>
  </si>
  <si>
    <t>1. APPLICANT HAS PROVIDED ALL THE REQUISITE DOCUMENTS PER THE GUIDELINES FOR BROADCASTING AUTHORISATION.
2. THE COMPANY HAS PAID THE REQUISITE APPLICATION FEE (GHS7,700.00) 
3. APPLICATION IS RECOMMENDED TO THE BOARD FOR CONSIDERATION.</t>
  </si>
  <si>
    <t>1.HABIB IDDRISU
2. ASMAWU SALIFU</t>
  </si>
  <si>
    <t>NEW TV APPLICATIONS (EXISTING COMPANIES WHO APPLIED AFTER EXPIRY)</t>
  </si>
  <si>
    <t>WONTUMI MULTIMEDIA LIMITED</t>
  </si>
  <si>
    <t>PROMISE BROADCASTING LIMITED</t>
  </si>
  <si>
    <t>1. EMELIA AGYEMANG
2.EMMANUEL AGYEMANG</t>
  </si>
  <si>
    <t>NEW  ISP LICENCE</t>
  </si>
  <si>
    <t>FREQUENCY BAND</t>
  </si>
  <si>
    <t>SMART INFRACO LIMITED</t>
  </si>
  <si>
    <t xml:space="preserve">1. ANGELA IFEANYI ONWUKA
2. NANA BOATEMA ASARE
</t>
  </si>
  <si>
    <t xml:space="preserve">1. ASCEND DIGITAL SOLUTIONS LIMITED
</t>
  </si>
  <si>
    <t>ISP AUTHORISATION</t>
  </si>
  <si>
    <t>2.4GHz, 5.4GHz &amp; 5.8GHz UNLICENCED BANDS IN 3 REGIONS AND FIBRE</t>
  </si>
  <si>
    <t>ACCRA, KUMASI, TAKORADI</t>
  </si>
  <si>
    <t>1. APPLICANT HAS SUBMITTED THE REQUIRED DOCUMENTS FOR THE AUTHORISATION. 
2. THE COMPANY HAS PAID THE REQUISITE APPLICATION FEES (GHS1,925.00).     
3. THE COMPANY SUCCESSFULLY DELIVERED A  PRESENTATION TO THE ISP REVIEWING PANEL. 
4. APPLICATION IS RECOMMENDED TO THE BOARD FOR CONSIDERATION.</t>
  </si>
  <si>
    <t>MASTER DIGITAL LIMITED</t>
  </si>
  <si>
    <t>1. JOSHUA APPOH
2. MICHEAL APPOH</t>
  </si>
  <si>
    <t>5.4GHz UNLICENCED BAND</t>
  </si>
  <si>
    <t>SKYE ASTRAL LIMITED</t>
  </si>
  <si>
    <t>1.SETH MIAH
2. JOSHUA AGBEKO KOJO BORLU</t>
  </si>
  <si>
    <t>1.SETH MIAH</t>
  </si>
  <si>
    <t>2.4GHz &amp;, 5.4GHz UNLICENCED BANDS IN 3 REGIONS</t>
  </si>
  <si>
    <t>ACCRA, KUMASI, CAPE COAST</t>
  </si>
  <si>
    <t>OCEAN TELECOM GHANA LIMITED</t>
  </si>
  <si>
    <t>1. COMFORT AYERAKWA
2. ERIC OWUSU</t>
  </si>
  <si>
    <t>1. ERIC OWUSU</t>
  </si>
  <si>
    <t>2.4GHz &amp; 5.8GHz UNLICENCED BANDS</t>
  </si>
  <si>
    <t>RENEWAL LANDMOBILE APPLICATIONS</t>
  </si>
  <si>
    <t>FLY ZIPLINE GHANA LIMITED</t>
  </si>
  <si>
    <t>1. CONOR FRENCH
2. KELLER CLIFFTON RINAUDO
3. KWESI DODI</t>
  </si>
  <si>
    <t>1. ZIPLINE INTERNATIONAL INCORPORATION</t>
  </si>
  <si>
    <t>LANDMOBILE</t>
  </si>
  <si>
    <t xml:space="preserve">EASTERN, ASHANTI, NORTH EAST , WESTERN NORTH, OTI </t>
  </si>
  <si>
    <t xml:space="preserve">1. THE APPLICANT HAS SATISFACTORILY PROVIDED ALL THE NECESSARY DOCUMENTS REQUIRED FOR THE PROCESSING OF ITS RENEWAL APPLICATION FOR A LAND MOBILE LICENCE.
2. THE RENEWAL APPLICATION IS FOR ITS PRIVATE LAND MOBILE RADIO AUTHORISATION.
3. THE APPLICANT NETWORK CONSISTS OF 
a. ONE(1) VHF FREQUENCIES 
b. SIXTY (60) PORTABLES ACROSS THE NATION
4. APPLICATION IS RECOMMENDED TO THE BOARD FOR CONSIDERATION . </t>
  </si>
  <si>
    <t>VANA ENERGY LIMITED</t>
  </si>
  <si>
    <t>1. HENRY ASSAH-AKOFFO
2. JOHN ERIC KODWO TAYLOR
3. JOSEPH MBROKOH-EWOAL
4. ROBERT DERBY
5. VALENTINE JUSTIN DOUGLAS</t>
  </si>
  <si>
    <t>1. VITOL B.V
2. WOODFIELDS PETROLEUM LIMITED</t>
  </si>
  <si>
    <t>TEMA, GREATER ACCRA REGION</t>
  </si>
  <si>
    <t xml:space="preserve">1. THE APPLICANT HAS SATISFACTORILY PROVIDED ALL THE NECESSARY DOCUMENTS REQUIRED FOR THE PROCESSING OF ITS RENEWAL APPLICATION FOR A LAND MOBILE LICENCE.
2. THE RENEWAL APPLICATION IS FOR ITS PRIVATE LAND MOBILE RADIO AUTHORISATION AT TEMA.
3. THE APPLICANT'S TEMA NETWORK CONSISTS OF 
a. ONE (1) VHF FREQUENCY 
b. NINETEEN (19) PORTABLES 
c. ONE (1) BASE STATION
4. APPLICATION IS RECOMMENDED TO THE BOARD FOR CONSIDERATION . </t>
  </si>
  <si>
    <t>CONSOLIDATED SHIPPING AGENCIES LTD. (CONSHIP)</t>
  </si>
  <si>
    <t>1. BEN NARTEY
2. ESINE OKUDZETO
3. EVAN DARKO-MENSAH
4. LINDA KOKUI VASNANI
5. MACDONALD CHIMANDAS VASNANI</t>
  </si>
  <si>
    <t>1. ALFRED BOATENG AMOAH
2.  LINDA KOKUI VASNANI
3. MACDONALD CHIMANDAS VASNANI</t>
  </si>
  <si>
    <t>GREATER ACCRA &amp; WESTERN REGION</t>
  </si>
  <si>
    <t xml:space="preserve">1. THE APPLICANT HAS SATISFACTORILY PROVIDED ALL THE NECESSARY DOCUMENTS REQUIRED FOR THE PROCESSING OF ITS RENEWAL APPLICATION FOR A LAND MOBILE LICENCE.
2. THE RENEWAL APPLICATION IS FOR ITS PRIVATE LAND MOBILE RADIO AUTHORISATION AT TEMA.
3. THE APPLICANT'S TEMA NETWORK CONSISTS OF 
a. ONE(1) VHF FREQUENCIES 
b. FIVE (5) PORTABLES
c. TWO (2) BASE STATION 
4. APPLICATION IS RECOMMENDED TO THE BOARD FOR CONSIDERATION . </t>
  </si>
  <si>
    <t>4G AND 5G CONNECTING ENTITY LICENCE</t>
  </si>
  <si>
    <t>AIRTEL GHANA LIMITED (AT)</t>
  </si>
  <si>
    <t>1. URSULA GIFTY OWUSU-EKUFUL 
2. LEONIDAS SKARLATOS
3. VICTOR OBENG-ADIYIAH
4. MARIANE QUANSAH
5. CHARLES MENSAH</t>
  </si>
  <si>
    <t>GOVERNMENT OF GHANA</t>
  </si>
  <si>
    <r>
      <rPr>
        <sz val="10"/>
        <color rgb="FF000000"/>
        <rFont val="Cambria"/>
      </rPr>
      <t xml:space="preserve">1. APPLICANT HAS PROVIDED ALL THE REQUISITE DOCUMENTS PER THE REQUIREMENTS FOR 4G AND 5G CONNECTING ENTITY LICENCE. HOWEVER, THE TAX CLEARANCE CERTIFICATE OF APPLICANT INDICATES THAT THEY HAVE TAX LIABILITIES
2. THE COMPANY HAS PAID THE REQUISITE APPLICATION FEE (GHS50,000.00) 
3. THE APPLICANT'S OUTSTANDING DEBT AS OF DECEMBER 2024 IS </t>
    </r>
    <r>
      <rPr>
        <b/>
        <sz val="10"/>
        <color rgb="FF000000"/>
        <rFont val="Cambria"/>
      </rPr>
      <t>GHS</t>
    </r>
    <r>
      <rPr>
        <sz val="10"/>
        <color rgb="FF000000"/>
        <rFont val="Cambria"/>
      </rPr>
      <t xml:space="preserve"> </t>
    </r>
    <r>
      <rPr>
        <b/>
        <sz val="10"/>
        <color rgb="FF000000"/>
        <rFont val="Cambria"/>
      </rPr>
      <t xml:space="preserve">72,946,099.76(REGULATORY FEES) AND USD 81,344,939,8.27(LICENCE FEES).
</t>
    </r>
    <r>
      <rPr>
        <sz val="10"/>
        <color rgb="FF000000"/>
        <rFont val="Cambria"/>
      </rPr>
      <t xml:space="preserve">4. FOLLOWING THE EVALUATION OF THE APPLICATION BY THE TECHNICAL COMMITTEE, ON THE BALANCE OF FORCES, </t>
    </r>
    <r>
      <rPr>
        <b/>
        <sz val="10"/>
        <color rgb="FF000000"/>
        <rFont val="Cambria"/>
      </rPr>
      <t xml:space="preserve">FURTHER FORWARDS THE APPLICATION TO THE BOARD FOR A DETERMINATION.
</t>
    </r>
    <r>
      <rPr>
        <sz val="10"/>
        <color rgb="FF000000"/>
        <rFont val="Cambria"/>
      </rPr>
      <t xml:space="preserve">
</t>
    </r>
  </si>
  <si>
    <t xml:space="preserve"> NEW DIGITAL AUDIO BROADCASTING APPLICATION</t>
  </si>
  <si>
    <t>UFIRST MARKETING &amp; BRAND LOGISTICS GHANA LIMITED</t>
  </si>
  <si>
    <t>1. BRENDA KOMMEY
2. ELINAM WILSON AMOOFIA</t>
  </si>
  <si>
    <t>DAB AUTHORISATION</t>
  </si>
  <si>
    <t>1. APPLICANT HAS PROVIDED ALL THE REQUISITE DOCUMENTS PER THE GUIDELINES FOR DAB BROADCASTING AUTHORISATION.
2. THE COMPANY HAS PAID THE REQUISITE APPLICATION FEE (GHS3,850.00) 
3. APPLICATION IS RECOMMENDED TO THE BOARD FOR CONSIDERATION.</t>
  </si>
  <si>
    <t>ROVESTA INC LIMITED</t>
  </si>
  <si>
    <t>1. LINDA APPIAH-BEKOE
2.SYLVESTER SEBBEH-NEWTON</t>
  </si>
  <si>
    <t>1.SYLVESTER SEBBEH-NEWTON</t>
  </si>
  <si>
    <t>TARKWA</t>
  </si>
  <si>
    <t>ARCHFIL CONSULT LIMITED</t>
  </si>
  <si>
    <t>1. JULIANA KISSI ADUAKO
2.JESSE KWAMINA BARAK MENSAH</t>
  </si>
  <si>
    <t>1. JULIANA KISSI ADUAKO</t>
  </si>
  <si>
    <t>KADMAY GLOBAL LIMITED</t>
  </si>
  <si>
    <t>1. KADIRI MAWIAH
2. BARIKISU HUSSEINI</t>
  </si>
  <si>
    <t>1.KADIRI MAWIAH</t>
  </si>
  <si>
    <t>1. BENJAMIN ADU-OWUSU
2. CATHERINE EFUA DJAN
3. GABRIEL ANNOR ACKAH
4. MINKAH-PREMO OSEI-BONSU BRUCE
5. NAT ADISI</t>
  </si>
  <si>
    <t>1. BENJAMIN ADU-OWUSU
2. GROUPE BENMORE LIMITED
3. NAT KWABENA ANOKYE</t>
  </si>
  <si>
    <t>GRANDSPACE LIMITED</t>
  </si>
  <si>
    <t>1. EWURADJOA KORANKYEWAA DADZIE
2. KWAME YEBOAH DAAKU
3.MICHEAL BLAY</t>
  </si>
  <si>
    <t xml:space="preserve"> TERRESTRIAL  FIBRE APPLICATION</t>
  </si>
  <si>
    <t>DIGITAL INFRASTRUCTURE VENTURES</t>
  </si>
  <si>
    <t>1. ANGELA IFEANYI ONWUKA
2.LEONIODAS PAULOS SKERALATOS</t>
  </si>
  <si>
    <t>1. AIRTEL GHANA LIMITED
2. ASCEND DIGITAL VENTURES</t>
  </si>
  <si>
    <t>NATIONAL TERRESTRIAL FIBRE</t>
  </si>
  <si>
    <r>
      <rPr>
        <sz val="10"/>
        <color rgb="FF000000"/>
        <rFont val="Cambria"/>
      </rPr>
      <t xml:space="preserve">1. APPLICANT HAS PROVIDED ALL THE REQUISITE DOCUMENTS PER THE GUIDELINES FOR NATIONAL TERRESTRIAL FIBRE AUTHORISATION.
2. THE COMPANY HAS PAID THE REQUISITE APPLICATION FEE (GHS192,500.00) 
4. THE COMPANY WAS FOUND OPERATING WITHOUT A VALID LICENCE AND HAS HENCE SUBMITTED THE REQUISITE DOCUMENTS TO REGULARISE THIER OPERATIONS AS IS THE NORM THE COMPANY IS TO BE PENALISED.
5. THE APPLICATION HAS BEEN FORWARDED TO MOCD FOR APPROVAL SINCE ITS A MAJOR LICENCE.
6. APPLICATION IS </t>
    </r>
    <r>
      <rPr>
        <b/>
        <sz val="10"/>
        <color rgb="FF000000"/>
        <rFont val="Cambria"/>
      </rPr>
      <t>FURTHER</t>
    </r>
    <r>
      <rPr>
        <sz val="10"/>
        <color rgb="FF000000"/>
        <rFont val="Cambria"/>
      </rPr>
      <t xml:space="preserve"> </t>
    </r>
    <r>
      <rPr>
        <b/>
        <sz val="10"/>
        <color rgb="FF000000"/>
        <rFont val="Cambria"/>
      </rPr>
      <t>FORWARDED</t>
    </r>
    <r>
      <rPr>
        <sz val="10"/>
        <color rgb="FF000000"/>
        <rFont val="Cambria"/>
      </rPr>
      <t xml:space="preserve"> </t>
    </r>
    <r>
      <rPr>
        <b/>
        <sz val="10"/>
        <color rgb="FF000000"/>
        <rFont val="Cambria"/>
      </rPr>
      <t>TO THE BOARD FOR A DETERMINATION.</t>
    </r>
  </si>
  <si>
    <t>RENEWAL DEALERSHIP APPLICATION</t>
  </si>
  <si>
    <t>AVIAT NETWORK</t>
  </si>
  <si>
    <t>1.ERIN REBECCA BOASE
2.GEORGE HERBERT OKAI THOMPSON
3. PETER ALFRED SMITH</t>
  </si>
  <si>
    <t>1. AVIAT NETWORKS (S) PTE LIMITED</t>
  </si>
  <si>
    <t>CLASS ''C''</t>
  </si>
  <si>
    <t xml:space="preserve">1. APPLICANT HAS PROVIDED ALL THE REQUIRED DOCUMENTS AS PER THE REQUIREMENT ON THE APPLICATION FORM AP01. 
2. PREMISES INSPECTION HAS BEEN CONDUCTED.
3. APPLICATION IS RECOMMENDED TO THE BOARD FOR CONSIDERATION  </t>
  </si>
  <si>
    <t>SATELLITE LANDING RIGHTS APPLICATION</t>
  </si>
  <si>
    <t>FREQUENCY BANDS</t>
  </si>
  <si>
    <t>EXPECTED PROVISIONAL AUTHORISATION FEES (USD)</t>
  </si>
  <si>
    <t>AVANTI HYLAS 2 LIMITED</t>
  </si>
  <si>
    <t>1. BRIDGET SHELDON HILL
2. KYLE DAVID WHITEHILL
3.ROBERT PLEWS</t>
  </si>
  <si>
    <t>1. PLATE NEWCO 1 LIMITED</t>
  </si>
  <si>
    <t>SATELLITE LANDING RIGHTS (FSS)</t>
  </si>
  <si>
    <t>KA-BAND</t>
  </si>
  <si>
    <t xml:space="preserve">1. THE COMPANY IS REQUESTING FOR A SATELLITE LANDING RIGHTS LICENCE FOR THE PROVISION OF BACKHAUL SERVICES USING HYLAS 4 KA BAND HIGH THROUGHPUT SATELLITE (HTS) SYSTEM. 
2. THE SYSTEM OPERATES A GEOSTATIONARY SATELLITE ORBIT (GSO) 36,000KM ABOVE THE EARTH SURFACE.
3. THE COMPANY IS PROPOSING TO OPERATE IN THE KA-BAND
</t>
  </si>
  <si>
    <t>RECOMMENDATIONS TO MANAGEMENT FOLLOWING THE TECHNICAL COMMITTEE MEETING HELD ON 19TH DECEMBER, 2024 FOR ADMINISTRATIVE APPROVAL</t>
  </si>
  <si>
    <t>NEW VAS APPLICATIONS</t>
  </si>
  <si>
    <t>EVEXIN COMPANY LIMITED</t>
  </si>
  <si>
    <t>1. ANTHONY ANUMU GIKUNOO
2. SOLOMON JUNIOR AFERDI</t>
  </si>
  <si>
    <t>SMS</t>
  </si>
  <si>
    <t>1. THE COMPANY HAS SUBMITTED ALL THE REQUIRED DOCUMENTS. 
2. THE COMPANY HAS PAID THE REQUISITE APPLICATION FEE OF GHS 385.00.
3. THE APPLICATION IS RECOMMENDED FOR MANAGEMENT'S CONSIDERATION.</t>
  </si>
  <si>
    <t>RENEWAL VAS APPLICATIONS</t>
  </si>
  <si>
    <t>DIGIMOBILIA VAS LIMITED</t>
  </si>
  <si>
    <t>1.ZACCIAH KWAKU ADOM-ODURO
2. KOJO ADOM ODURO</t>
  </si>
  <si>
    <t>1.ZACCIAH KWAKU ADOM-ODURO</t>
  </si>
  <si>
    <t>BULK SMS</t>
  </si>
  <si>
    <t>NEW AERONAUTICAL APPLICATION</t>
  </si>
  <si>
    <t>EXPECTED AUTHORISATION FEES (GHS)</t>
  </si>
  <si>
    <t>ECOALPHA SERVICES LIMITED</t>
  </si>
  <si>
    <t>1. MACDONALD C. VASNANI
2. LINDA KOKUI VASNANI
3. ALFRED AMOAH</t>
  </si>
  <si>
    <t>1. CONSOLIDATED SHIPPING AGENCY
2. OLIVER KWAME DANQUAH
3. ABRAHAM CLOTTEY</t>
  </si>
  <si>
    <t>AERONAUTICAL</t>
  </si>
  <si>
    <t>108-136MHz</t>
  </si>
  <si>
    <t>1. THE APPLICANT HAS SATISFACTORILY PROVIDED ALL THE REQUISITE DOCUMENTS REQUIRED FOR THE PROCESSING  OF ITS  AIRCRAFT RADIO LICENCE FOR ITS AIRCRAFT WITH CALL SIGN 9G-HAJ
2. THE APPLICATION IS RECOMMENDED FOR ADMINISTRATIVE APPROVAL.</t>
  </si>
  <si>
    <t>PAID</t>
  </si>
  <si>
    <t>RENEWAL AERONAUTICAL APPLICATION</t>
  </si>
  <si>
    <t>GIANAIR LIMITED</t>
  </si>
  <si>
    <t>1. OLENA PLISHCENKO
2. ROBERT BILLIA
3. MOHAMMED CHAIBAI</t>
  </si>
  <si>
    <t>1. THE APPLICANT HAS SATISFACTORILY PROVIDED ALL THE REQUISITE DOCUMENT REQUIRED FOR THE PROCESSING  OF ITS RENEWAL AIRCRAFT RADIO LICENCE FOR ITS AIRCRAFT WITH CALL SIGN 9G-AGS
2. THE APPLICATION IS RECOMMENDED FOR ADMINISTRATIVE APPROVAL.</t>
  </si>
  <si>
    <t>NEW SPECIAL NUMBERING RESOURCE APPLICATIONS</t>
  </si>
  <si>
    <t>TYPE OF RESOURCE</t>
  </si>
  <si>
    <t>CLOZAR GROUP</t>
  </si>
  <si>
    <t>TOLL FREE</t>
  </si>
  <si>
    <t>1. THE APPLICANT HAS SATISFACTORILY PROVIDED ALL THE REQUISITE DOCUMENTS REQUIRED FOR THE PROCESSING OF  A TOLL FREE NUMBERING RESOURCE. 
2. THE COMPANY HAS PAID THE REQUISITE FEE OF GH40.00
3. THE APPLICATION IS RECOMMENDED FOR ADMINISTRATIVE APPROVAL.</t>
  </si>
  <si>
    <t>40 (PAID)</t>
  </si>
  <si>
    <t>TREE CROPS DEVELOPMENT ORGANISATION</t>
  </si>
  <si>
    <t>41 (PAID)</t>
  </si>
  <si>
    <t>SNV NETHERLANDS DEVELOPMENT ORGANISATION</t>
  </si>
  <si>
    <t>42 (PAID)</t>
  </si>
  <si>
    <t>TDX APP LIMITED</t>
  </si>
  <si>
    <t>SHORT CODE</t>
  </si>
  <si>
    <t>1. THE APPLICANT HAS SATISFACTORILY PROVIDED ALL THE REQUISITE DOCUMENTS REQUIRED FOR THE PROCESSING OF  A 4-DIGIT SHORT CODE NUMBERING RESOURCE. 
2. THE COMPANY HAS PAID THE REQUISITE FEE OF GH500.00
3. THE APPLICATION IS RECOMMENDED FOR ADMINISTRATIVE APPROVAL.</t>
  </si>
  <si>
    <t>500 (PAID)</t>
  </si>
  <si>
    <t>AHANTAMA RURAL BANK</t>
  </si>
  <si>
    <t>1. THE APPLICANT HAS SATISFACTORILY PROVIDED ALL THE REQUISITE DOCUMENTS REQUIRED FOR THE PROCESSING OF  A 3-DIGIT SHORT CODE NUMBERING RESOURCE. 
2. THE COMPANY HAS PAID THE REQUISITE FEE OF GH2,100.00
3. THE APPLICATION IS RECOMMENDED FOR ADMINISTRATIVE APPROVAL.</t>
  </si>
  <si>
    <t>2,100 (PAID)</t>
  </si>
  <si>
    <t>RENEWAL SPECIAL NUMBERING RESOURCE APPLICATIONS</t>
  </si>
  <si>
    <t>NUMBER(S) REQUESTED</t>
  </si>
  <si>
    <t>MNOTIFY</t>
  </si>
  <si>
    <t>1. THE APPLICANT HAS SATISFACTORILY PROVIDED ALL THE REQUISITE DOCUMENTS REQUIRED FOR THE RENEWAL OF  ITS 3-DIGIT SHORT CODE NUMBERING RESOURCE. 
2. THE COMPANY HAS PAID THE REQUISITE FEE OF GHS2,100.00
3. THE APPLICATION IS RECOMMENDED FOR ADMINISTRATIVE APPROVAL.</t>
  </si>
  <si>
    <t xml:space="preserve"> 2,100 (PAID)</t>
  </si>
  <si>
    <t>APPSNMOBILE SOLUTIONS</t>
  </si>
  <si>
    <t>BRAC GHANA SAVINGS &amp; LOANS</t>
  </si>
  <si>
    <t>1. THE APPLICANT HAS SATISFACTORILY PROVIDED ALL THE REQUISITE DOCUMENTS REQUIRED FOR THE RENEWAL OF  ITS 3 -DIGIT SHORT CODE NUMBERING RESOURCE. 
2. THE COMPANY HAS PAID THE REQUISITE FEE OF GHS2,100.00
3. THE APPLICATION IS RECOMMENDED FOR ADMINISTRATIVE APPROVAL.</t>
  </si>
  <si>
    <t>MTECH COMMUNICATIONS LIMITED</t>
  </si>
  <si>
    <t>1. THE APPLICANT HAS SATISFACTORILY PROVIDED ALL THE REQUISITE DOCUMENTS REQUIRED FOR THE RENEWAL OF  ITS 3-DIGIT SHORT CODE AND PREMIUM RATE NUMBERING RESOURCE. 
2. THE COMPANY HAS PAID THE REQUISITE FEE OF GHS2,100.00
3. THE APPLICATION IS RECOMMENDED FOR ADMINISTRATIVE APPROVAL.</t>
  </si>
  <si>
    <t>DELAPHONE LIMITED</t>
  </si>
  <si>
    <t>AFRICA'S TALKING</t>
  </si>
  <si>
    <t>1. THE APPLICANT HAS SATISFACTORILY PROVIDED ALL THE REQUISITE DOCUMENTS REQUIRED FOR THE RENEWAL OF  ITS 4-DIGIT SHORT CODE NUMBERING RESOURCE. 
2. THE COMPANY HAS PAID THE REQUISITE FEE OF GHS500.00
3. THE APPLICATION IS RECOMMENDED FOR ADMINISTRATIVE APPROVAL.</t>
  </si>
  <si>
    <t xml:space="preserve"> 500 (PAID)</t>
  </si>
  <si>
    <t>TECH VALLEY INFORMATIONS TECHNOLOGY LIMITED</t>
  </si>
  <si>
    <t>ASAANA MOBILE LIMITED</t>
  </si>
  <si>
    <t>TYPE APPROVAL APPLICATIONS</t>
  </si>
  <si>
    <t>TERMINAL EQUIPMENT</t>
  </si>
  <si>
    <t>NAME OF MANUFACTURER/AUTHORISED REP</t>
  </si>
  <si>
    <t>MODULE NUMBER</t>
  </si>
  <si>
    <t>TYPE/CATEGORY OF EQUIPMENT</t>
  </si>
  <si>
    <t>EXPECTED AUTHORISATION FEES
(GHS)</t>
  </si>
  <si>
    <t>SAMSUNG ELECTRONICS WEST AFRICA/SAMSUNG ELECTRONICS COMPANY LIMITED</t>
  </si>
  <si>
    <t xml:space="preserve">1. SM-F956B/DS
2.	SM-F741B/DS
3.	SM-S721B/DS
4.	SM-X826B/DS
5.	SM-X926B/DS
6.	SM-S721B/DS
7.	SM-A065F/DS
</t>
  </si>
  <si>
    <t>MOBILE PHONE</t>
  </si>
  <si>
    <t>1. APPLICANT HAS PROVIDED ALL THE REQUISITE  DOCUMENTS PER THE GUIDELINES FOR TYPE APPROVAL                  
2. THE COMPANY HAS PAID THE REQUISITE FEE OF GHS17,517.50 FOR THE 7 MODELS.                     
3. APPLICATION IS RECOMMENDED FOR MANAGEMENT CONSIDERATION.</t>
  </si>
  <si>
    <t>ITEL MOBILE GHANA LIMITED/ ITEL MOBILE LIMITED</t>
  </si>
  <si>
    <t xml:space="preserve">1.IT3020
2. A671L
3. A515W
</t>
  </si>
  <si>
    <t>1. APPLICANT HAS PROVIDED ALL THE REQUISITE  DOCUMENTS PER THE GUIDELINES FOR TYPE APPROVAL                  
2. THE COMPANY HAS PAID THE REQUISITE FEE OF GHS7,507.50 FOR THE 3 MODELS.                     
3. APPLICATION IS RECOMMENDED FOR MANAGEMENT CONSIDERATION.</t>
  </si>
  <si>
    <t>GATE DYNAMIC LTD (MOBIWIRE SAS)</t>
  </si>
  <si>
    <t xml:space="preserve">1. MP5
</t>
  </si>
  <si>
    <t>POS</t>
  </si>
  <si>
    <t>1. APPLICANT HAS PROVIDED ALL THE REQUISITE  DOCUMENTS PER THE GUIDELINES FOR TYPE APPROVAL                  
2. THE COMPANY HAS PAID THE REQUISITE FEE OF GHS2,502.50 FOR 1 MODEL.                     
3. APPLICATION IS RECOMMENDED FOR MANAGEMENT CONSIDERATION.</t>
  </si>
  <si>
    <t>MOHTEL GHANA SERVICE LTD (OPPO GHANA)- (GUANGDONG OPPO MOBILE TELECOMS LTD)</t>
  </si>
  <si>
    <t xml:space="preserve">1. CPH2699
</t>
  </si>
  <si>
    <t>SHORT RANGE EQUIPMENT</t>
  </si>
  <si>
    <t xml:space="preserve">SAMSUNG ELECTRONICS </t>
  </si>
  <si>
    <t>WDF520M</t>
  </si>
  <si>
    <t>WIFI TRANSCEIVER</t>
  </si>
  <si>
    <t>1. APPLICANT HAS PROVIDED ALL THE REQUISITE  DOCUMENTS PER THE GUIDELINES FOR TYPE APPROVAL                  
2. THE COMPANY HAS PAID THE REQUISITE FEE OF GHS2,117.5 FOR 1 MODEL.                     
3. APPLICATION IS RECOMMENDED FOR MANAGEMENT CONSIDERATION.</t>
  </si>
  <si>
    <t>WCF734M</t>
  </si>
  <si>
    <t>WIFI/BT TRANSCEIVER</t>
  </si>
  <si>
    <t>1. APPLICANT HAS PROVIDED ALL THE REQUISITE  DOCUMENTS PER THE GUIDELINES FOR TYPE APPROVAL                  
2. THE COMPANY HAS PAID THE REQUISITE FEE OF GHS2,117.50 FOR 1 MODEL.                      
3. APPLICATION IS RECOMMENDED FOR MANAGEMENT CONSIDERATION.</t>
  </si>
  <si>
    <t>MDRD1304</t>
  </si>
  <si>
    <t>MOTION DETECTION SENSOR</t>
  </si>
  <si>
    <t>TMLF19D-A</t>
  </si>
  <si>
    <t>VEHICLE IMMOBILIZER TRANSCEIVER</t>
  </si>
  <si>
    <t>NETWORK SYSTEMS (ALPS ALPINE CO., LTD)</t>
  </si>
  <si>
    <t>AH00ICB 2</t>
  </si>
  <si>
    <t>VEHICLE INFOTAINMENT SYSTEM</t>
  </si>
  <si>
    <t>NETWORK SYSTEMS (KANAVI MOBILITY CO., LTD)</t>
  </si>
  <si>
    <t>KMAV2001</t>
  </si>
  <si>
    <t>NETWORK SYSTEMS (HARMAN BECKER AUTOMOTIVE SYSTEMS GMBH)</t>
  </si>
  <si>
    <t>ICC</t>
  </si>
  <si>
    <t>BURN MANUFACTURING GHANA (ECOA ELECTRONIC (DONGGUAN) LTD</t>
  </si>
  <si>
    <t>1. IA2.0G
2. IA2.0F</t>
  </si>
  <si>
    <t>SMART COOKER</t>
  </si>
  <si>
    <t>1. APPLICANT HAS PROVIDED ALL THE REQUISITE  DOCUMENTS PER THE GUIDELINES FOR TYPE APPROVAL                  
2. THE COMPANY HAS PAID THE REQUISITE FEE OF GHS4,235.00 FOR THE 2 MODELS.                      
3. APPLICATION IS RECOMMENDED FOR MANAGEMENT CONSIDERATION.</t>
  </si>
  <si>
    <t>GATE DYNAMICS LTD (DENSO TEN LIMITED)</t>
  </si>
  <si>
    <t> TN0047A</t>
  </si>
  <si>
    <t>GATE DYNAMICS LTD (FAURECIA CLARIAN ELECTRONICS)</t>
  </si>
  <si>
    <t xml:space="preserve">1. P2402
2. P2401
</t>
  </si>
  <si>
    <t>GATE DYNAMICS LTD (LOGITECH EUROPE S.A)</t>
  </si>
  <si>
    <t>MR0116</t>
  </si>
  <si>
    <t>WIRELESS MOUSE</t>
  </si>
  <si>
    <t>GATE DYNAMICS LTD (LG ELECTRONIC)</t>
  </si>
  <si>
    <t>LANR41</t>
  </si>
  <si>
    <t>CONT ASSY-AV</t>
  </si>
  <si>
    <t>GATE DYNAMICS LTD (BURY SP Z OO)</t>
  </si>
  <si>
    <t>WCM</t>
  </si>
  <si>
    <t>WIRELESS CHARGER WITH NFC</t>
  </si>
  <si>
    <t>BEYT EPSILON (BRADY WORLDWIDE INC)</t>
  </si>
  <si>
    <t>I7500</t>
  </si>
  <si>
    <t>LABEL PRINTER</t>
  </si>
  <si>
    <t>BEYT EPSILON (SEIKO EPSON CORPORATION)</t>
  </si>
  <si>
    <t>C821A (EM-C8100 SERIES)</t>
  </si>
  <si>
    <t>PRINTER</t>
  </si>
  <si>
    <t>APPCON GHANA (SAMSUNG ELECTRONICS)</t>
  </si>
  <si>
    <t>VG-TM2560</t>
  </si>
  <si>
    <t>SMART CONTROL</t>
  </si>
  <si>
    <t>1. APPLICANT HAS PROVIDED ALL THE REQUISITE  DOCUMENTS PER THE GUIDELINES FOR TYPE APPROVAL                  
2. THE COMPANY HAS PAID THE REQUISITE FEE OF GHS2,117.50.                     
3. APPLICATION IS RECOMMENDED FOR MANAGEMENT CONSIDERATION.</t>
  </si>
  <si>
    <t>BEYT EPSILON (SHANGHAI ORTEK ELECTRONICS CO., LTD)</t>
  </si>
  <si>
    <t>TK-80</t>
  </si>
  <si>
    <t>CAR AUDIO</t>
  </si>
  <si>
    <t>NETWORK EQUIPMENT</t>
  </si>
  <si>
    <t>JUNIPER NETWORKS (APPCON GHANA)</t>
  </si>
  <si>
    <t>PTX10002-36QDD</t>
  </si>
  <si>
    <t>ROUTER</t>
  </si>
  <si>
    <t>1. APPLICANT HAS PROVIDED ALL THE REQUISITE  DOCUMENTS PER THE GUIDELINES FOR TYPE APPROVAL                  
2. THE COMPANY HAS PAID THE REQUISITE FEE OF GHS4,235.                     
3. APPLICATION IS RECOMMENDED FOR MANAGEMENT CONSIDERATION.</t>
  </si>
  <si>
    <t>APPCON GHANA (JUNIPER NETWORKS)</t>
  </si>
  <si>
    <t>LWC</t>
  </si>
  <si>
    <t>NETWORK SERVICE PLATFORM</t>
  </si>
  <si>
    <t>MAINONE CABLE CO. GHANA LTD (CISCO INC)</t>
  </si>
  <si>
    <t xml:space="preserve">1. 02JD720
2.  C1200-24P-4X
3. C1200-24T-4X
4. C1200-48P-4X
5. C1300-24FP-4X
6. C1300-24P-4G
7. C1300-24T-4G
8. C9200CX-12P-2X2G
9. C9300X-24Y-E
10. N9K-C93216TC
11. 02JD721
12. CBS350-48T-4G
13. C9200L-48PXG-4X
14. C9300L-48UXG-4X
15. MS130-8P-HW
</t>
  </si>
  <si>
    <t>SWITCH</t>
  </si>
  <si>
    <t>1. APPLICANT HAS PROVIDED ALL THE REQUISITE  DOCUMENTS PER THE GUIDELINES FOR TYPE APPROVAL                  
2. THE COMPANY HAS PAID THE REQUISITE FEE OF GHS63,525 FOR THE 15 MODELS.                     
3. APPLICATION IS RECOMMENDED FOR MANAGEMENT CONSIDERATION.</t>
  </si>
  <si>
    <t xml:space="preserve">1. C1161X-8PLTEP
2. C8500-12X
3. IR829-2LTE-EA-EK9
4. C1131-8PWE
</t>
  </si>
  <si>
    <t>1. APPLICANT HAS PROVIDED ALL THE REQUISITE  DOCUMENTS PER THE GUIDELINES FOR TYPE APPROVAL                  
2. THE COMPANY HAS PAID THE REQUISITE FEE OF GHS16,940 FOR THE 4 MODELS.                     
3. APPLICATION IS RECOMMENDED FOR MANAGEMENT CONSIDERATION.</t>
  </si>
  <si>
    <t xml:space="preserve">1. UCSC-C220-M7
2. DN3-HW-APL
</t>
  </si>
  <si>
    <t>SERVER</t>
  </si>
  <si>
    <t>1. APPLICANT HAS PROVIDED ALL THE REQUISITE  DOCUMENTS PER THE GUIDELINES FOR TYPE APPROVAL                  
2. THE COMPANY HAS PAID THE REQUISITE FEE OF GHS8,470 FOR THE 2 MODELS.                     
3. APPLICATION IS RECOMMENDED FOR MANAGEMENT CONSIDERATION.</t>
  </si>
  <si>
    <t>DP-9800-KEM</t>
  </si>
  <si>
    <t>MODULE</t>
  </si>
  <si>
    <t xml:space="preserve">1. FMC1700-CHAS-K9
2. FPR3110-K9
3. FPR4215-K9
</t>
  </si>
  <si>
    <t>SECURITY APPLIANCE</t>
  </si>
  <si>
    <t>1. APPLICANT HAS PROVIDED ALL THE REQUISITE  DOCUMENTS PER THE GUIDELINES FOR TYPE APPROVAL                  
2. THE COMPANY HAS PAID THE REQUISITE FEE OF GHS12,705 FOR THE 3 MODELS.                     
3. APPLICATION IS RECOMMENDED FOR MANAGEMENT CONSIDERATION.</t>
  </si>
  <si>
    <t> BEYT EPSILON (EDGECORE NETWORKS CORPORATION)</t>
  </si>
  <si>
    <t>ECS4100-28TC-F US2</t>
  </si>
  <si>
    <t>ETHERNET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</si>
</sst>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6">
    <font>
      <sz val="11"/>
      <color theme="1"/>
      <name val="Calibri"/>
      <family val="2"/>
      <scheme val="minor"/>
    </font>
    <font>
      <b/>
      <sz val="11"/>
      <color theme="1"/>
      <name val="Calibri"/>
      <family val="2"/>
      <scheme val="minor"/>
    </font>
    <font>
      <b/>
      <sz val="10"/>
      <color rgb="FF000000"/>
      <name val="Cambria"/>
    </font>
    <font>
      <sz val="10"/>
      <color rgb="FF000000"/>
      <name val="Cambria"/>
    </font>
    <font>
      <b/>
      <sz val="10"/>
      <name val="Cambria"/>
    </font>
    <font>
      <b/>
      <sz val="10"/>
      <color rgb="FF000000"/>
      <name val="Cambria"/>
      <family val="1"/>
    </font>
    <font>
      <b/>
      <sz val="10"/>
      <name val="Cambria"/>
      <family val="1"/>
    </font>
    <font>
      <b/>
      <sz val="10"/>
      <color rgb="FFFF0000"/>
      <name val="Cambria"/>
    </font>
    <font>
      <sz val="10"/>
      <color rgb="FF000000"/>
      <name val="Cambria"/>
      <family val="1"/>
    </font>
    <font>
      <sz val="10"/>
      <name val="Cambria"/>
      <family val="1"/>
    </font>
    <font>
      <sz val="10"/>
      <color theme="1"/>
      <name val="Cambria"/>
      <family val="1"/>
    </font>
    <font>
      <b/>
      <sz val="10"/>
      <color theme="1"/>
      <name val="Cambria"/>
      <family val="1"/>
    </font>
    <font>
      <sz val="11"/>
      <color theme="1"/>
      <name val="Cambria"/>
    </font>
    <font>
      <sz val="10"/>
      <color theme="1"/>
      <name val="Calibri"/>
      <family val="2"/>
      <scheme val="minor"/>
    </font>
    <font>
      <sz val="10"/>
      <color theme="1"/>
      <name val="Cambria"/>
    </font>
    <font>
      <sz val="10"/>
      <color theme="1"/>
      <name val="Cambria"/>
      <family val="1"/>
      <charset val="1"/>
    </font>
    <font>
      <sz val="11"/>
      <color rgb="FF000000"/>
      <name val="Calibri"/>
      <family val="2"/>
      <scheme val="minor"/>
    </font>
    <font>
      <b/>
      <sz val="10"/>
      <color theme="1"/>
      <name val="Cambria"/>
    </font>
    <font>
      <sz val="10"/>
      <color rgb="FF000000"/>
      <name val="Cambria"/>
      <family val="1"/>
      <charset val="1"/>
    </font>
    <font>
      <sz val="10"/>
      <color rgb="FF000000"/>
      <name val="Cambria"/>
      <charset val="1"/>
    </font>
    <font>
      <sz val="10"/>
      <color rgb="FFFF0000"/>
      <name val="Cambria"/>
      <family val="1"/>
    </font>
    <font>
      <sz val="10"/>
      <color rgb="FFFF0000"/>
      <name val="Cambria"/>
      <family val="1"/>
      <charset val="1"/>
    </font>
    <font>
      <sz val="10"/>
      <color rgb="FFFF0000"/>
      <name val="Cambria"/>
    </font>
    <font>
      <sz val="10"/>
      <color rgb="FF000000"/>
      <name val="Times"/>
      <charset val="1"/>
    </font>
    <font>
      <b/>
      <sz val="11"/>
      <color rgb="FF000000"/>
      <name val="Calibri"/>
      <family val="2"/>
      <scheme val="minor"/>
    </font>
    <font>
      <sz val="10"/>
      <color rgb="FF000000"/>
      <name val="Calibri"/>
      <family val="2"/>
      <scheme val="minor"/>
    </font>
  </fonts>
  <fills count="23">
    <fill>
      <patternFill patternType="none"/>
    </fill>
    <fill>
      <patternFill patternType="gray125"/>
    </fill>
    <fill>
      <patternFill patternType="solid">
        <fgColor rgb="FF00B0F0"/>
        <bgColor rgb="FF000000"/>
      </patternFill>
    </fill>
    <fill>
      <patternFill patternType="solid">
        <fgColor rgb="FFD9D9D9"/>
        <bgColor rgb="FF000000"/>
      </patternFill>
    </fill>
    <fill>
      <patternFill patternType="solid">
        <fgColor rgb="FFF2F2F2"/>
        <bgColor rgb="FF000000"/>
      </patternFill>
    </fill>
    <fill>
      <patternFill patternType="solid">
        <fgColor rgb="FF9BC2E6"/>
        <bgColor rgb="FF000000"/>
      </patternFill>
    </fill>
    <fill>
      <patternFill patternType="solid">
        <fgColor rgb="FFFFFFFF"/>
        <bgColor indexed="64"/>
      </patternFill>
    </fill>
    <fill>
      <patternFill patternType="solid">
        <fgColor rgb="FFFFE699"/>
        <bgColor rgb="FF000000"/>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D966"/>
        <bgColor rgb="FF000000"/>
      </patternFill>
    </fill>
    <fill>
      <patternFill patternType="solid">
        <fgColor rgb="FFFFFFFF"/>
        <bgColor rgb="FF000000"/>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8"/>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7">
    <xf numFmtId="0" fontId="0" fillId="0" borderId="0" xfId="0"/>
    <xf numFmtId="0" fontId="3" fillId="0" borderId="5" xfId="0" applyFont="1" applyBorder="1" applyAlignment="1">
      <alignment horizontal="left" vertical="top" wrapText="1"/>
    </xf>
    <xf numFmtId="0" fontId="2" fillId="3" borderId="4"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0" borderId="1" xfId="0" applyFont="1" applyBorder="1" applyAlignment="1">
      <alignment vertical="top" wrapText="1"/>
    </xf>
    <xf numFmtId="0" fontId="12" fillId="0" borderId="0" xfId="0" applyFont="1" applyAlignment="1">
      <alignment vertical="top"/>
    </xf>
    <xf numFmtId="0" fontId="0" fillId="0" borderId="1" xfId="0" applyBorder="1" applyAlignment="1">
      <alignment vertical="top"/>
    </xf>
    <xf numFmtId="0" fontId="0" fillId="0" borderId="0" xfId="0" applyAlignment="1">
      <alignment vertical="top"/>
    </xf>
    <xf numFmtId="0" fontId="14" fillId="0" borderId="1" xfId="0" applyFont="1" applyBorder="1" applyAlignment="1">
      <alignment vertical="top" wrapText="1"/>
    </xf>
    <xf numFmtId="0" fontId="16" fillId="0" borderId="0" xfId="0" applyFont="1" applyAlignment="1">
      <alignment horizontal="left" vertical="top"/>
    </xf>
    <xf numFmtId="0" fontId="14" fillId="0" borderId="1" xfId="0" applyFont="1" applyBorder="1" applyAlignment="1">
      <alignment vertical="top"/>
    </xf>
    <xf numFmtId="0" fontId="10" fillId="0" borderId="1" xfId="0" applyFont="1" applyBorder="1" applyAlignment="1">
      <alignment vertical="top" wrapText="1"/>
    </xf>
    <xf numFmtId="0" fontId="10" fillId="0" borderId="13" xfId="0" applyFont="1" applyBorder="1" applyAlignment="1">
      <alignment vertical="top"/>
    </xf>
    <xf numFmtId="4" fontId="11" fillId="0" borderId="14" xfId="0" applyNumberFormat="1" applyFont="1" applyBorder="1" applyAlignment="1">
      <alignment vertical="top"/>
    </xf>
    <xf numFmtId="4" fontId="1" fillId="0" borderId="14" xfId="0" applyNumberFormat="1" applyFont="1" applyBorder="1" applyAlignment="1">
      <alignment vertical="top"/>
    </xf>
    <xf numFmtId="0" fontId="14" fillId="0" borderId="5" xfId="0" applyFont="1" applyBorder="1" applyAlignment="1">
      <alignment vertical="top" wrapText="1"/>
    </xf>
    <xf numFmtId="0" fontId="9" fillId="0" borderId="1" xfId="0" applyFont="1" applyBorder="1" applyAlignment="1">
      <alignment horizontal="left" vertical="top" wrapText="1"/>
    </xf>
    <xf numFmtId="0" fontId="14" fillId="0" borderId="5" xfId="0" applyFont="1" applyBorder="1" applyAlignment="1">
      <alignment vertical="top"/>
    </xf>
    <xf numFmtId="0" fontId="15" fillId="0" borderId="1" xfId="0" applyFont="1" applyBorder="1" applyAlignment="1">
      <alignment vertical="top"/>
    </xf>
    <xf numFmtId="0" fontId="2" fillId="3" borderId="13" xfId="0" applyFont="1" applyFill="1" applyBorder="1" applyAlignment="1">
      <alignment horizontal="center" vertical="center" wrapText="1"/>
    </xf>
    <xf numFmtId="0" fontId="4" fillId="3" borderId="14" xfId="0" applyFont="1" applyFill="1" applyBorder="1" applyAlignment="1">
      <alignment horizontal="center" vertical="top" wrapText="1"/>
    </xf>
    <xf numFmtId="0" fontId="14" fillId="0" borderId="28" xfId="0" applyFont="1" applyBorder="1" applyAlignment="1">
      <alignment vertical="top"/>
    </xf>
    <xf numFmtId="0" fontId="9" fillId="0" borderId="29" xfId="0" applyFont="1" applyBorder="1" applyAlignment="1">
      <alignment horizontal="left" vertical="top" wrapText="1"/>
    </xf>
    <xf numFmtId="0" fontId="14" fillId="0" borderId="29" xfId="0" applyFont="1" applyBorder="1" applyAlignment="1">
      <alignment vertical="top" wrapText="1"/>
    </xf>
    <xf numFmtId="0" fontId="19" fillId="0" borderId="1" xfId="0" applyFont="1" applyBorder="1" applyAlignment="1">
      <alignment vertical="top"/>
    </xf>
    <xf numFmtId="0" fontId="3" fillId="0" borderId="5" xfId="0" applyFont="1" applyBorder="1" applyAlignment="1">
      <alignment vertical="top" wrapText="1"/>
    </xf>
    <xf numFmtId="0" fontId="14" fillId="0" borderId="29" xfId="0" applyFont="1" applyBorder="1" applyAlignment="1">
      <alignment vertical="top"/>
    </xf>
    <xf numFmtId="0" fontId="7" fillId="9" borderId="13" xfId="0" applyFont="1" applyFill="1" applyBorder="1" applyAlignment="1">
      <alignment horizontal="center" vertical="center" wrapText="1"/>
    </xf>
    <xf numFmtId="0" fontId="7" fillId="9" borderId="4" xfId="0" applyFont="1" applyFill="1" applyBorder="1" applyAlignment="1">
      <alignment horizontal="left" vertical="top" wrapText="1"/>
    </xf>
    <xf numFmtId="0" fontId="7" fillId="9" borderId="1" xfId="0" applyFont="1" applyFill="1" applyBorder="1" applyAlignment="1">
      <alignment horizontal="left" vertical="top" wrapText="1"/>
    </xf>
    <xf numFmtId="0" fontId="7" fillId="9" borderId="1" xfId="0" applyFont="1" applyFill="1" applyBorder="1" applyAlignment="1">
      <alignment horizontal="center" vertical="top" wrapText="1"/>
    </xf>
    <xf numFmtId="4" fontId="7" fillId="9" borderId="14" xfId="0" applyNumberFormat="1" applyFont="1" applyFill="1" applyBorder="1" applyAlignment="1">
      <alignment horizontal="center" vertical="top" wrapText="1"/>
    </xf>
    <xf numFmtId="0" fontId="20" fillId="0" borderId="13" xfId="0" applyFont="1" applyBorder="1" applyAlignment="1">
      <alignment horizontal="center" vertical="center" wrapText="1"/>
    </xf>
    <xf numFmtId="0" fontId="21" fillId="0" borderId="6" xfId="0" applyFont="1" applyBorder="1" applyAlignment="1">
      <alignment vertical="top" wrapText="1"/>
    </xf>
    <xf numFmtId="0" fontId="20" fillId="0" borderId="1" xfId="0" applyFont="1" applyBorder="1" applyAlignment="1">
      <alignment horizontal="left" vertical="top" wrapText="1"/>
    </xf>
    <xf numFmtId="0" fontId="22" fillId="0" borderId="1" xfId="0" applyFont="1" applyBorder="1" applyAlignment="1">
      <alignment horizontal="left" vertical="top" wrapText="1"/>
    </xf>
    <xf numFmtId="4" fontId="7" fillId="0" borderId="14" xfId="0" applyNumberFormat="1" applyFont="1" applyBorder="1" applyAlignment="1">
      <alignment horizontal="right" vertical="top" wrapText="1"/>
    </xf>
    <xf numFmtId="0" fontId="20" fillId="0" borderId="13" xfId="0" applyFont="1" applyBorder="1" applyAlignment="1">
      <alignment horizontal="center" vertical="center"/>
    </xf>
    <xf numFmtId="0" fontId="20" fillId="0" borderId="17" xfId="0" applyFont="1" applyBorder="1" applyAlignment="1">
      <alignment horizontal="center" vertical="center"/>
    </xf>
    <xf numFmtId="0" fontId="21" fillId="0" borderId="23" xfId="0" applyFont="1" applyBorder="1" applyAlignment="1">
      <alignment vertical="top" wrapText="1"/>
    </xf>
    <xf numFmtId="0" fontId="20" fillId="0" borderId="18" xfId="0" applyFont="1" applyBorder="1" applyAlignment="1">
      <alignment horizontal="left" vertical="top" wrapText="1"/>
    </xf>
    <xf numFmtId="0" fontId="22" fillId="0" borderId="18" xfId="0" applyFont="1" applyBorder="1" applyAlignment="1">
      <alignment horizontal="left" vertical="top" wrapText="1"/>
    </xf>
    <xf numFmtId="4" fontId="7" fillId="0" borderId="19" xfId="0" applyNumberFormat="1" applyFont="1" applyBorder="1" applyAlignment="1">
      <alignment horizontal="right" vertical="top" wrapText="1"/>
    </xf>
    <xf numFmtId="0" fontId="14" fillId="0" borderId="1" xfId="0" applyFont="1" applyBorder="1" applyAlignment="1">
      <alignment wrapText="1"/>
    </xf>
    <xf numFmtId="0" fontId="10" fillId="0" borderId="15" xfId="0" applyFont="1" applyBorder="1" applyAlignment="1">
      <alignment vertical="top"/>
    </xf>
    <xf numFmtId="0" fontId="0" fillId="0" borderId="5" xfId="0" applyBorder="1" applyAlignment="1">
      <alignment vertical="top"/>
    </xf>
    <xf numFmtId="4" fontId="11" fillId="0" borderId="16" xfId="0" applyNumberFormat="1" applyFont="1" applyBorder="1" applyAlignment="1">
      <alignment vertical="top"/>
    </xf>
    <xf numFmtId="0" fontId="18" fillId="6" borderId="1" xfId="0" applyFont="1" applyFill="1" applyBorder="1" applyAlignment="1">
      <alignment vertical="top"/>
    </xf>
    <xf numFmtId="0" fontId="15" fillId="0" borderId="1" xfId="0" applyFont="1" applyBorder="1" applyAlignment="1">
      <alignment vertical="top" wrapText="1"/>
    </xf>
    <xf numFmtId="0" fontId="10" fillId="0" borderId="1" xfId="0" applyFont="1" applyBorder="1" applyAlignment="1">
      <alignment vertical="top"/>
    </xf>
    <xf numFmtId="0" fontId="18" fillId="0" borderId="1" xfId="0" applyFont="1" applyBorder="1" applyAlignment="1">
      <alignment vertical="top"/>
    </xf>
    <xf numFmtId="0" fontId="10" fillId="0" borderId="1" xfId="0" applyFont="1" applyBorder="1" applyAlignment="1">
      <alignment wrapText="1"/>
    </xf>
    <xf numFmtId="0" fontId="18" fillId="6" borderId="1" xfId="0" applyFont="1" applyFill="1" applyBorder="1" applyAlignment="1">
      <alignment vertical="top" wrapText="1"/>
    </xf>
    <xf numFmtId="0" fontId="3" fillId="0" borderId="15" xfId="0" applyFont="1" applyBorder="1" applyAlignment="1">
      <alignment horizontal="center" vertical="top" wrapText="1"/>
    </xf>
    <xf numFmtId="0" fontId="3" fillId="16" borderId="17" xfId="0" applyFont="1" applyFill="1" applyBorder="1" applyAlignment="1">
      <alignment vertical="top" wrapText="1"/>
    </xf>
    <xf numFmtId="0" fontId="23" fillId="0" borderId="18" xfId="0" applyFont="1" applyBorder="1" applyAlignment="1">
      <alignment vertical="top" wrapText="1"/>
    </xf>
    <xf numFmtId="0" fontId="3" fillId="16" borderId="18" xfId="0" applyFont="1" applyFill="1" applyBorder="1" applyAlignment="1">
      <alignment vertical="top" wrapText="1"/>
    </xf>
    <xf numFmtId="0" fontId="8" fillId="10" borderId="18" xfId="0" applyFont="1" applyFill="1" applyBorder="1" applyAlignment="1">
      <alignment horizontal="left" vertical="top" wrapText="1"/>
    </xf>
    <xf numFmtId="4" fontId="4" fillId="16" borderId="19" xfId="0" applyNumberFormat="1" applyFont="1" applyFill="1" applyBorder="1" applyAlignment="1">
      <alignment vertical="top" wrapText="1"/>
    </xf>
    <xf numFmtId="0" fontId="19" fillId="0" borderId="1" xfId="0" applyFont="1" applyBorder="1" applyAlignment="1">
      <alignment vertical="top" wrapText="1"/>
    </xf>
    <xf numFmtId="0" fontId="3" fillId="0" borderId="1" xfId="0" applyFont="1" applyBorder="1" applyAlignment="1">
      <alignment horizontal="center" vertical="top" wrapText="1"/>
    </xf>
    <xf numFmtId="0" fontId="18" fillId="0" borderId="1" xfId="0" applyFont="1" applyBorder="1" applyAlignment="1">
      <alignment vertical="top" wrapText="1"/>
    </xf>
    <xf numFmtId="0" fontId="3" fillId="0" borderId="1" xfId="0" applyFont="1" applyBorder="1" applyAlignment="1">
      <alignment horizontal="left" vertical="top" wrapText="1"/>
    </xf>
    <xf numFmtId="0" fontId="0" fillId="0" borderId="13" xfId="0" applyBorder="1" applyAlignment="1">
      <alignment vertical="top"/>
    </xf>
    <xf numFmtId="0" fontId="14" fillId="0" borderId="13" xfId="0" applyFont="1" applyBorder="1" applyAlignment="1">
      <alignment vertical="top"/>
    </xf>
    <xf numFmtId="43" fontId="17" fillId="0" borderId="14" xfId="0" applyNumberFormat="1" applyFont="1" applyBorder="1" applyAlignment="1">
      <alignment vertical="top"/>
    </xf>
    <xf numFmtId="0" fontId="3" fillId="0" borderId="13" xfId="0" applyFont="1" applyBorder="1" applyAlignment="1">
      <alignment horizontal="center" vertical="top" wrapText="1"/>
    </xf>
    <xf numFmtId="0" fontId="2" fillId="0" borderId="35" xfId="0" applyFont="1" applyBorder="1" applyAlignment="1">
      <alignment horizontal="center" vertical="top" wrapText="1"/>
    </xf>
    <xf numFmtId="0" fontId="2" fillId="0" borderId="28" xfId="0" applyFont="1" applyBorder="1" applyAlignment="1">
      <alignment horizontal="center" vertical="top" wrapText="1"/>
    </xf>
    <xf numFmtId="0" fontId="7" fillId="0" borderId="28" xfId="0" applyFont="1" applyBorder="1" applyAlignment="1">
      <alignment horizontal="center" vertical="top" wrapText="1"/>
    </xf>
    <xf numFmtId="0" fontId="7" fillId="0" borderId="36" xfId="0" applyFont="1" applyBorder="1" applyAlignment="1">
      <alignment horizontal="center" vertical="top" wrapText="1"/>
    </xf>
    <xf numFmtId="0" fontId="5" fillId="3" borderId="30" xfId="0" applyFont="1" applyFill="1" applyBorder="1" applyAlignment="1">
      <alignment horizontal="center" vertical="top" wrapText="1"/>
    </xf>
    <xf numFmtId="0" fontId="5" fillId="3" borderId="31" xfId="0" applyFont="1" applyFill="1" applyBorder="1" applyAlignment="1">
      <alignment horizontal="center" vertical="top" wrapText="1"/>
    </xf>
    <xf numFmtId="0" fontId="5" fillId="3" borderId="32" xfId="0" applyFont="1" applyFill="1" applyBorder="1" applyAlignment="1">
      <alignment horizontal="center" vertical="top" wrapText="1"/>
    </xf>
    <xf numFmtId="0" fontId="10" fillId="0" borderId="33" xfId="0" applyFont="1" applyBorder="1" applyAlignment="1">
      <alignment vertical="top"/>
    </xf>
    <xf numFmtId="0" fontId="15" fillId="0" borderId="29" xfId="0" applyFont="1" applyBorder="1" applyAlignment="1">
      <alignment vertical="top"/>
    </xf>
    <xf numFmtId="0" fontId="10" fillId="0" borderId="29" xfId="0" applyFont="1" applyBorder="1" applyAlignment="1">
      <alignment vertical="top" wrapText="1"/>
    </xf>
    <xf numFmtId="0" fontId="19" fillId="0" borderId="29" xfId="0" applyFont="1" applyBorder="1" applyAlignment="1">
      <alignment vertical="top" wrapText="1"/>
    </xf>
    <xf numFmtId="0" fontId="10" fillId="0" borderId="29" xfId="0" applyFont="1" applyBorder="1" applyAlignment="1">
      <alignment vertical="top"/>
    </xf>
    <xf numFmtId="0" fontId="18" fillId="6" borderId="5" xfId="0" applyFont="1" applyFill="1" applyBorder="1" applyAlignment="1">
      <alignment vertical="top"/>
    </xf>
    <xf numFmtId="0" fontId="10" fillId="0" borderId="5" xfId="0" applyFont="1" applyBorder="1" applyAlignment="1">
      <alignment vertical="top" wrapText="1"/>
    </xf>
    <xf numFmtId="0" fontId="15" fillId="0" borderId="29" xfId="0" applyFont="1" applyBorder="1" applyAlignment="1">
      <alignment vertical="top" wrapText="1"/>
    </xf>
    <xf numFmtId="0" fontId="18" fillId="0" borderId="29" xfId="0" applyFont="1" applyBorder="1" applyAlignment="1">
      <alignment vertical="top"/>
    </xf>
    <xf numFmtId="0" fontId="10" fillId="0" borderId="29" xfId="0" applyFont="1" applyBorder="1" applyAlignment="1">
      <alignment wrapText="1"/>
    </xf>
    <xf numFmtId="0" fontId="18" fillId="6" borderId="5" xfId="0" applyFont="1" applyFill="1" applyBorder="1" applyAlignment="1">
      <alignment vertical="top" wrapText="1"/>
    </xf>
    <xf numFmtId="0" fontId="10" fillId="0" borderId="5" xfId="0" applyFont="1" applyBorder="1" applyAlignment="1">
      <alignment wrapText="1"/>
    </xf>
    <xf numFmtId="4" fontId="1" fillId="0" borderId="16" xfId="0" applyNumberFormat="1" applyFont="1" applyBorder="1" applyAlignment="1">
      <alignment vertical="top"/>
    </xf>
    <xf numFmtId="0" fontId="13" fillId="0" borderId="35" xfId="0" applyFont="1" applyBorder="1" applyAlignment="1">
      <alignment vertical="top"/>
    </xf>
    <xf numFmtId="0" fontId="15" fillId="0" borderId="28" xfId="0" applyFont="1" applyBorder="1" applyAlignment="1">
      <alignment vertical="top" wrapText="1"/>
    </xf>
    <xf numFmtId="0" fontId="14" fillId="0" borderId="28" xfId="0" applyFont="1" applyBorder="1" applyAlignment="1">
      <alignment vertical="top" wrapText="1"/>
    </xf>
    <xf numFmtId="0" fontId="10" fillId="0" borderId="28" xfId="0" applyFont="1" applyBorder="1" applyAlignment="1">
      <alignment vertical="top" wrapText="1"/>
    </xf>
    <xf numFmtId="0" fontId="8" fillId="0" borderId="33" xfId="0" applyFont="1" applyBorder="1" applyAlignment="1">
      <alignment horizontal="right" vertical="top" wrapText="1"/>
    </xf>
    <xf numFmtId="0" fontId="0" fillId="0" borderId="29" xfId="0" applyBorder="1" applyAlignment="1">
      <alignment vertical="top"/>
    </xf>
    <xf numFmtId="0" fontId="0" fillId="0" borderId="15" xfId="0" applyBorder="1" applyAlignment="1">
      <alignment vertical="top"/>
    </xf>
    <xf numFmtId="0" fontId="15" fillId="0" borderId="5" xfId="0" applyFont="1" applyBorder="1" applyAlignment="1">
      <alignment vertical="top" wrapText="1"/>
    </xf>
    <xf numFmtId="0" fontId="2" fillId="3" borderId="30" xfId="0" applyFont="1" applyFill="1" applyBorder="1" applyAlignment="1">
      <alignment horizontal="center" vertical="top" wrapText="1"/>
    </xf>
    <xf numFmtId="0" fontId="2" fillId="3" borderId="31" xfId="0" applyFont="1" applyFill="1" applyBorder="1" applyAlignment="1">
      <alignment horizontal="center" vertical="top" wrapText="1"/>
    </xf>
    <xf numFmtId="0" fontId="2" fillId="3" borderId="32" xfId="0" applyFont="1" applyFill="1" applyBorder="1" applyAlignment="1">
      <alignment horizontal="center" vertical="top" wrapText="1"/>
    </xf>
    <xf numFmtId="0" fontId="14" fillId="0" borderId="33" xfId="0" applyFont="1" applyBorder="1" applyAlignment="1">
      <alignment vertical="top"/>
    </xf>
    <xf numFmtId="0" fontId="14" fillId="0" borderId="15" xfId="0" applyFont="1" applyBorder="1" applyAlignment="1">
      <alignment vertical="top"/>
    </xf>
    <xf numFmtId="43" fontId="17" fillId="0" borderId="34" xfId="0" applyNumberFormat="1" applyFont="1" applyBorder="1" applyAlignment="1">
      <alignment vertical="top"/>
    </xf>
    <xf numFmtId="0" fontId="9" fillId="0" borderId="5" xfId="0" applyFont="1" applyBorder="1" applyAlignment="1">
      <alignment horizontal="left" vertical="top" wrapText="1"/>
    </xf>
    <xf numFmtId="0" fontId="2" fillId="9" borderId="30" xfId="0" applyFont="1" applyFill="1" applyBorder="1" applyAlignment="1">
      <alignment horizontal="center" vertical="top" wrapText="1"/>
    </xf>
    <xf numFmtId="0" fontId="2" fillId="9" borderId="31" xfId="0" applyFont="1" applyFill="1" applyBorder="1" applyAlignment="1">
      <alignment horizontal="center" vertical="top" wrapText="1"/>
    </xf>
    <xf numFmtId="0" fontId="2" fillId="9" borderId="31" xfId="0" applyFont="1" applyFill="1" applyBorder="1" applyAlignment="1">
      <alignment horizontal="left" vertical="top" wrapText="1"/>
    </xf>
    <xf numFmtId="0" fontId="2" fillId="9" borderId="32" xfId="0" applyFont="1" applyFill="1" applyBorder="1" applyAlignment="1">
      <alignment horizontal="center" vertical="top" wrapText="1"/>
    </xf>
    <xf numFmtId="0" fontId="3" fillId="0" borderId="33" xfId="0" applyFont="1" applyBorder="1" applyAlignment="1">
      <alignment horizontal="center" vertical="top" wrapText="1"/>
    </xf>
    <xf numFmtId="0" fontId="18" fillId="0" borderId="29" xfId="0" applyFont="1" applyBorder="1" applyAlignment="1">
      <alignment vertical="top" wrapText="1"/>
    </xf>
    <xf numFmtId="0" fontId="3" fillId="0" borderId="29" xfId="0" applyFont="1" applyBorder="1" applyAlignment="1">
      <alignment horizontal="left" vertical="top" wrapText="1"/>
    </xf>
    <xf numFmtId="0" fontId="3" fillId="0" borderId="29" xfId="0" applyFont="1" applyBorder="1" applyAlignment="1">
      <alignment horizontal="center" vertical="top" wrapText="1"/>
    </xf>
    <xf numFmtId="0" fontId="18" fillId="0" borderId="5" xfId="0" applyFont="1" applyBorder="1" applyAlignment="1">
      <alignment vertical="top" wrapText="1"/>
    </xf>
    <xf numFmtId="0" fontId="0" fillId="0" borderId="35" xfId="0" applyBorder="1" applyAlignment="1">
      <alignment vertical="top"/>
    </xf>
    <xf numFmtId="0" fontId="3" fillId="0" borderId="28" xfId="0" applyFont="1" applyBorder="1" applyAlignment="1">
      <alignment vertical="top" wrapText="1"/>
    </xf>
    <xf numFmtId="4" fontId="14" fillId="0" borderId="36" xfId="0" applyNumberFormat="1" applyFont="1" applyBorder="1" applyAlignment="1">
      <alignment vertical="top"/>
    </xf>
    <xf numFmtId="0" fontId="14" fillId="0" borderId="29" xfId="0" applyFont="1" applyBorder="1" applyAlignment="1">
      <alignment wrapText="1"/>
    </xf>
    <xf numFmtId="0" fontId="14" fillId="0" borderId="5" xfId="0" applyFont="1" applyBorder="1" applyAlignment="1">
      <alignment wrapText="1"/>
    </xf>
    <xf numFmtId="0" fontId="0" fillId="0" borderId="37" xfId="0" applyBorder="1" applyAlignment="1">
      <alignment vertical="top"/>
    </xf>
    <xf numFmtId="0" fontId="3" fillId="0" borderId="38" xfId="0" applyFont="1" applyBorder="1" applyAlignment="1">
      <alignment vertical="top" wrapText="1"/>
    </xf>
    <xf numFmtId="0" fontId="14" fillId="0" borderId="38" xfId="0" applyFont="1" applyBorder="1" applyAlignment="1">
      <alignment vertical="top"/>
    </xf>
    <xf numFmtId="0" fontId="14" fillId="0" borderId="38" xfId="0" applyFont="1" applyBorder="1" applyAlignment="1">
      <alignment vertical="top" wrapText="1"/>
    </xf>
    <xf numFmtId="0" fontId="8" fillId="0" borderId="38" xfId="0" applyFont="1" applyBorder="1" applyAlignment="1">
      <alignment wrapText="1"/>
    </xf>
    <xf numFmtId="0" fontId="2" fillId="3" borderId="33" xfId="0" applyFont="1" applyFill="1" applyBorder="1" applyAlignment="1">
      <alignment vertical="top" wrapText="1"/>
    </xf>
    <xf numFmtId="0" fontId="2" fillId="3" borderId="29" xfId="0" applyFont="1" applyFill="1" applyBorder="1" applyAlignment="1">
      <alignment vertical="top" wrapText="1"/>
    </xf>
    <xf numFmtId="0" fontId="4" fillId="3" borderId="34" xfId="0" applyFont="1" applyFill="1" applyBorder="1" applyAlignment="1">
      <alignment vertical="top" wrapText="1"/>
    </xf>
    <xf numFmtId="0" fontId="3" fillId="16" borderId="38" xfId="0" applyFont="1" applyFill="1" applyBorder="1" applyAlignment="1">
      <alignment vertical="top" wrapText="1"/>
    </xf>
    <xf numFmtId="0" fontId="5" fillId="3" borderId="33" xfId="0" applyFont="1" applyFill="1" applyBorder="1" applyAlignment="1">
      <alignment vertical="top" wrapText="1"/>
    </xf>
    <xf numFmtId="0" fontId="5" fillId="3" borderId="40" xfId="0" applyFont="1" applyFill="1" applyBorder="1" applyAlignment="1">
      <alignment vertical="top" wrapText="1"/>
    </xf>
    <xf numFmtId="0" fontId="5" fillId="3" borderId="41" xfId="0" applyFont="1" applyFill="1" applyBorder="1" applyAlignment="1">
      <alignment vertical="top" wrapText="1"/>
    </xf>
    <xf numFmtId="0" fontId="5" fillId="3" borderId="42" xfId="0" applyFont="1" applyFill="1" applyBorder="1" applyAlignment="1">
      <alignment vertical="top" wrapText="1"/>
    </xf>
    <xf numFmtId="0" fontId="5" fillId="3" borderId="29" xfId="0" applyFont="1" applyFill="1" applyBorder="1" applyAlignment="1">
      <alignment vertical="top" wrapText="1"/>
    </xf>
    <xf numFmtId="0" fontId="6" fillId="3" borderId="34" xfId="0" applyFont="1" applyFill="1" applyBorder="1" applyAlignment="1">
      <alignment vertical="top" wrapText="1"/>
    </xf>
    <xf numFmtId="4" fontId="17" fillId="0" borderId="36" xfId="0" applyNumberFormat="1" applyFont="1" applyBorder="1" applyAlignment="1">
      <alignment vertical="top"/>
    </xf>
    <xf numFmtId="0" fontId="2" fillId="9" borderId="7" xfId="0" applyFont="1" applyFill="1" applyBorder="1" applyAlignment="1">
      <alignment horizontal="center" vertical="top" wrapText="1"/>
    </xf>
    <xf numFmtId="0" fontId="2" fillId="9" borderId="8" xfId="0" applyFont="1" applyFill="1" applyBorder="1" applyAlignment="1">
      <alignment horizontal="center" vertical="top" wrapText="1"/>
    </xf>
    <xf numFmtId="0" fontId="2" fillId="9" borderId="8" xfId="0" applyFont="1" applyFill="1" applyBorder="1" applyAlignment="1">
      <alignment horizontal="left" vertical="top" wrapText="1"/>
    </xf>
    <xf numFmtId="0" fontId="2" fillId="9" borderId="9" xfId="0" applyFont="1" applyFill="1" applyBorder="1" applyAlignment="1">
      <alignment horizontal="center" vertical="top" wrapText="1"/>
    </xf>
    <xf numFmtId="0" fontId="14" fillId="0" borderId="30" xfId="0" applyFont="1" applyBorder="1" applyAlignment="1">
      <alignment vertical="top"/>
    </xf>
    <xf numFmtId="0" fontId="14" fillId="0" borderId="31" xfId="0" applyFont="1" applyBorder="1" applyAlignment="1">
      <alignment vertical="top"/>
    </xf>
    <xf numFmtId="0" fontId="14" fillId="0" borderId="31" xfId="0" applyFont="1" applyBorder="1" applyAlignment="1">
      <alignment vertical="top" wrapText="1"/>
    </xf>
    <xf numFmtId="0" fontId="5" fillId="3" borderId="15" xfId="0" applyFont="1" applyFill="1" applyBorder="1" applyAlignment="1">
      <alignment vertical="top" wrapText="1"/>
    </xf>
    <xf numFmtId="0" fontId="5" fillId="3" borderId="5" xfId="0" applyFont="1" applyFill="1" applyBorder="1" applyAlignment="1">
      <alignment vertical="top" wrapText="1"/>
    </xf>
    <xf numFmtId="0" fontId="6" fillId="3" borderId="16" xfId="0" applyFont="1" applyFill="1" applyBorder="1" applyAlignment="1">
      <alignment vertical="top" wrapText="1"/>
    </xf>
    <xf numFmtId="0" fontId="8" fillId="0" borderId="18" xfId="0" applyFont="1" applyBorder="1" applyAlignment="1">
      <alignment vertical="top" wrapText="1"/>
    </xf>
    <xf numFmtId="0" fontId="9" fillId="0" borderId="18" xfId="0" applyFont="1" applyBorder="1" applyAlignment="1">
      <alignment vertical="top" wrapText="1"/>
    </xf>
    <xf numFmtId="0" fontId="3" fillId="0" borderId="18" xfId="0" applyFont="1" applyBorder="1" applyAlignment="1">
      <alignment vertical="top" wrapText="1"/>
    </xf>
    <xf numFmtId="0" fontId="1" fillId="0" borderId="19" xfId="0" applyFont="1" applyBorder="1" applyAlignment="1">
      <alignment vertical="top"/>
    </xf>
    <xf numFmtId="0" fontId="12" fillId="0" borderId="17" xfId="0" applyFont="1" applyBorder="1" applyAlignment="1">
      <alignment vertical="top"/>
    </xf>
    <xf numFmtId="0" fontId="14" fillId="0" borderId="18" xfId="0" applyFont="1" applyBorder="1" applyAlignment="1">
      <alignment vertical="top" wrapText="1"/>
    </xf>
    <xf numFmtId="0" fontId="3" fillId="16" borderId="15" xfId="0" applyFont="1" applyFill="1" applyBorder="1" applyAlignment="1">
      <alignment vertical="top" wrapText="1"/>
    </xf>
    <xf numFmtId="0" fontId="23" fillId="0" borderId="5" xfId="0" applyFont="1" applyBorder="1" applyAlignment="1">
      <alignment vertical="top" wrapText="1"/>
    </xf>
    <xf numFmtId="0" fontId="3" fillId="16" borderId="5" xfId="0" applyFont="1" applyFill="1" applyBorder="1" applyAlignment="1">
      <alignment vertical="top" wrapText="1"/>
    </xf>
    <xf numFmtId="0" fontId="19" fillId="0" borderId="5" xfId="0" applyFont="1" applyBorder="1" applyAlignment="1">
      <alignment vertical="top"/>
    </xf>
    <xf numFmtId="0" fontId="8" fillId="10" borderId="5" xfId="0" applyFont="1" applyFill="1" applyBorder="1" applyAlignment="1">
      <alignment horizontal="left" vertical="top" wrapText="1"/>
    </xf>
    <xf numFmtId="4" fontId="4" fillId="16" borderId="16" xfId="0" applyNumberFormat="1" applyFont="1" applyFill="1" applyBorder="1" applyAlignment="1">
      <alignment vertical="top" wrapText="1"/>
    </xf>
    <xf numFmtId="0" fontId="9" fillId="0" borderId="46" xfId="0" applyFont="1" applyBorder="1" applyAlignment="1">
      <alignment vertical="top" wrapText="1"/>
    </xf>
    <xf numFmtId="0" fontId="14" fillId="0" borderId="17" xfId="0" applyFont="1" applyBorder="1" applyAlignment="1">
      <alignment vertical="top"/>
    </xf>
    <xf numFmtId="0" fontId="14" fillId="0" borderId="18" xfId="0" applyFont="1" applyBorder="1" applyAlignment="1">
      <alignment vertical="top"/>
    </xf>
    <xf numFmtId="0" fontId="8" fillId="10" borderId="31" xfId="0" applyFont="1" applyFill="1" applyBorder="1" applyAlignment="1">
      <alignment horizontal="left" vertical="top" wrapText="1"/>
    </xf>
    <xf numFmtId="0" fontId="14" fillId="0" borderId="43" xfId="0" applyFont="1" applyBorder="1" applyAlignment="1">
      <alignment vertical="top"/>
    </xf>
    <xf numFmtId="0" fontId="12" fillId="0" borderId="1" xfId="0" applyFont="1" applyBorder="1" applyAlignment="1">
      <alignment vertical="top"/>
    </xf>
    <xf numFmtId="43" fontId="1" fillId="0" borderId="34" xfId="0" applyNumberFormat="1" applyFont="1" applyBorder="1" applyAlignment="1">
      <alignment vertical="top"/>
    </xf>
    <xf numFmtId="43" fontId="1" fillId="0" borderId="16" xfId="0" applyNumberFormat="1" applyFont="1" applyBorder="1" applyAlignment="1">
      <alignment vertical="top"/>
    </xf>
    <xf numFmtId="43" fontId="17" fillId="0" borderId="34" xfId="0" applyNumberFormat="1" applyFont="1" applyBorder="1" applyAlignment="1">
      <alignment vertical="top" wrapText="1"/>
    </xf>
    <xf numFmtId="43" fontId="17" fillId="0" borderId="16" xfId="0" applyNumberFormat="1" applyFont="1" applyBorder="1" applyAlignment="1">
      <alignment vertical="top" wrapText="1"/>
    </xf>
    <xf numFmtId="4" fontId="1" fillId="0" borderId="1" xfId="0" applyNumberFormat="1" applyFont="1" applyBorder="1" applyAlignment="1">
      <alignment vertical="top"/>
    </xf>
    <xf numFmtId="0" fontId="14" fillId="0" borderId="47" xfId="0" applyFont="1" applyBorder="1" applyAlignment="1">
      <alignment vertical="top"/>
    </xf>
    <xf numFmtId="0" fontId="0" fillId="0" borderId="47" xfId="0" applyBorder="1" applyAlignment="1">
      <alignment vertical="top"/>
    </xf>
    <xf numFmtId="0" fontId="14" fillId="0" borderId="27" xfId="0" applyFont="1" applyBorder="1" applyAlignment="1">
      <alignment vertical="top" wrapText="1"/>
    </xf>
    <xf numFmtId="0" fontId="14" fillId="0" borderId="27" xfId="0" applyFont="1" applyBorder="1" applyAlignment="1">
      <alignment vertical="top"/>
    </xf>
    <xf numFmtId="0" fontId="18" fillId="6" borderId="2" xfId="0" applyFont="1" applyFill="1" applyBorder="1" applyAlignment="1">
      <alignment vertical="top" wrapText="1"/>
    </xf>
    <xf numFmtId="0" fontId="14" fillId="0" borderId="4" xfId="0" applyFont="1" applyBorder="1" applyAlignment="1">
      <alignment vertical="top" wrapText="1"/>
    </xf>
    <xf numFmtId="4" fontId="2" fillId="0" borderId="34" xfId="0" applyNumberFormat="1" applyFont="1" applyBorder="1" applyAlignment="1">
      <alignment horizontal="center" vertical="top" wrapText="1"/>
    </xf>
    <xf numFmtId="4" fontId="2" fillId="0" borderId="14" xfId="0" applyNumberFormat="1" applyFont="1" applyBorder="1" applyAlignment="1">
      <alignment horizontal="center" vertical="top" wrapText="1"/>
    </xf>
    <xf numFmtId="4" fontId="2" fillId="0" borderId="16" xfId="0" applyNumberFormat="1" applyFont="1" applyBorder="1" applyAlignment="1">
      <alignment horizontal="center" vertical="top" wrapText="1"/>
    </xf>
    <xf numFmtId="4" fontId="14" fillId="0" borderId="34" xfId="0" applyNumberFormat="1" applyFont="1" applyBorder="1" applyAlignment="1">
      <alignment vertical="top"/>
    </xf>
    <xf numFmtId="43" fontId="5" fillId="0" borderId="39" xfId="0" applyNumberFormat="1" applyFont="1" applyBorder="1" applyAlignment="1">
      <alignment vertical="top" wrapText="1"/>
    </xf>
    <xf numFmtId="43" fontId="1" fillId="0" borderId="32" xfId="0" applyNumberFormat="1" applyFont="1" applyBorder="1" applyAlignment="1">
      <alignment vertical="top"/>
    </xf>
    <xf numFmtId="0" fontId="0" fillId="0" borderId="0" xfId="0" applyAlignment="1">
      <alignment vertical="top" wrapText="1"/>
    </xf>
    <xf numFmtId="0" fontId="16" fillId="0" borderId="0" xfId="0" applyFont="1"/>
    <xf numFmtId="0" fontId="2" fillId="0" borderId="1" xfId="0" applyFont="1" applyBorder="1" applyAlignment="1">
      <alignment vertical="top" wrapText="1"/>
    </xf>
    <xf numFmtId="4" fontId="2" fillId="0" borderId="1" xfId="0" applyNumberFormat="1" applyFont="1" applyBorder="1" applyAlignment="1">
      <alignment vertical="top" wrapText="1"/>
    </xf>
    <xf numFmtId="0" fontId="16" fillId="0" borderId="1" xfId="0" applyFont="1" applyBorder="1" applyAlignment="1">
      <alignment horizontal="center" vertical="top"/>
    </xf>
    <xf numFmtId="0" fontId="18" fillId="0" borderId="6" xfId="0" applyFont="1" applyBorder="1" applyAlignment="1">
      <alignment vertical="top"/>
    </xf>
    <xf numFmtId="0" fontId="18" fillId="0" borderId="6" xfId="0" applyFont="1" applyBorder="1" applyAlignment="1">
      <alignment vertical="top" wrapText="1"/>
    </xf>
    <xf numFmtId="0" fontId="18" fillId="0" borderId="48" xfId="0" applyFont="1" applyBorder="1" applyAlignment="1">
      <alignment vertical="top"/>
    </xf>
    <xf numFmtId="43" fontId="24" fillId="0" borderId="1" xfId="0" applyNumberFormat="1" applyFont="1" applyBorder="1" applyAlignment="1">
      <alignment horizontal="right" vertical="top"/>
    </xf>
    <xf numFmtId="43" fontId="24" fillId="0" borderId="1" xfId="0" applyNumberFormat="1" applyFont="1" applyBorder="1" applyAlignment="1">
      <alignment vertical="top"/>
    </xf>
    <xf numFmtId="0" fontId="16" fillId="0" borderId="1" xfId="0" applyFont="1" applyBorder="1" applyAlignment="1">
      <alignment vertical="top"/>
    </xf>
    <xf numFmtId="0" fontId="2" fillId="0" borderId="5" xfId="0" applyFont="1" applyBorder="1" applyAlignment="1">
      <alignment vertical="top" wrapText="1"/>
    </xf>
    <xf numFmtId="0" fontId="2" fillId="0" borderId="5" xfId="0" applyFont="1" applyBorder="1" applyAlignment="1">
      <alignment horizontal="center" vertical="top" wrapText="1"/>
    </xf>
    <xf numFmtId="43" fontId="24" fillId="0" borderId="4" xfId="0" applyNumberFormat="1" applyFont="1" applyBorder="1" applyAlignment="1">
      <alignment horizontal="center" vertical="top"/>
    </xf>
    <xf numFmtId="0" fontId="16" fillId="0" borderId="1" xfId="0" applyFont="1" applyBorder="1"/>
    <xf numFmtId="43" fontId="24" fillId="0" borderId="4" xfId="0" applyNumberFormat="1" applyFont="1" applyBorder="1" applyAlignment="1">
      <alignment vertical="top"/>
    </xf>
    <xf numFmtId="0" fontId="18" fillId="0" borderId="4" xfId="0" applyFont="1" applyBorder="1" applyAlignment="1">
      <alignment vertical="top"/>
    </xf>
    <xf numFmtId="0" fontId="3" fillId="0" borderId="4" xfId="0" applyFont="1" applyBorder="1" applyAlignment="1">
      <alignment vertical="top" wrapText="1"/>
    </xf>
    <xf numFmtId="0" fontId="3" fillId="0" borderId="4" xfId="0" applyFont="1" applyBorder="1" applyAlignment="1">
      <alignment vertical="top"/>
    </xf>
    <xf numFmtId="0" fontId="25" fillId="0" borderId="29" xfId="0" applyFont="1" applyBorder="1" applyAlignment="1">
      <alignment wrapText="1"/>
    </xf>
    <xf numFmtId="0" fontId="16" fillId="0" borderId="4" xfId="0" applyFont="1" applyBorder="1" applyAlignment="1">
      <alignment vertical="top"/>
    </xf>
    <xf numFmtId="0" fontId="16" fillId="0" borderId="0" xfId="0" applyFont="1" applyAlignment="1">
      <alignment vertical="top"/>
    </xf>
    <xf numFmtId="0" fontId="2" fillId="0" borderId="1" xfId="0" applyFont="1" applyBorder="1" applyAlignment="1">
      <alignment horizontal="center" vertical="top" wrapText="1"/>
    </xf>
    <xf numFmtId="0" fontId="18" fillId="0" borderId="49" xfId="0" applyFont="1" applyBorder="1" applyAlignment="1">
      <alignment vertical="top" wrapText="1"/>
    </xf>
    <xf numFmtId="0" fontId="18" fillId="0" borderId="50" xfId="0" applyFont="1" applyBorder="1" applyAlignment="1">
      <alignment vertical="top" wrapText="1"/>
    </xf>
    <xf numFmtId="0" fontId="3" fillId="0" borderId="29" xfId="0" applyFont="1" applyBorder="1" applyAlignment="1">
      <alignment vertical="top" wrapText="1"/>
    </xf>
    <xf numFmtId="0" fontId="14" fillId="0" borderId="1" xfId="0" applyFont="1" applyBorder="1" applyAlignment="1">
      <alignment horizontal="left" vertical="top" wrapText="1"/>
    </xf>
    <xf numFmtId="0" fontId="16" fillId="0" borderId="1" xfId="0" applyFont="1" applyBorder="1" applyAlignment="1">
      <alignment horizontal="center" vertical="center"/>
    </xf>
    <xf numFmtId="0" fontId="3" fillId="10" borderId="15" xfId="0" applyFont="1" applyFill="1" applyBorder="1" applyAlignment="1">
      <alignment horizontal="center" vertical="center" wrapText="1"/>
    </xf>
    <xf numFmtId="0" fontId="3" fillId="10" borderId="27" xfId="0" applyFont="1" applyFill="1" applyBorder="1" applyAlignment="1">
      <alignment horizontal="left" vertical="top" wrapText="1"/>
    </xf>
    <xf numFmtId="0" fontId="3" fillId="10" borderId="5" xfId="0" applyFont="1" applyFill="1" applyBorder="1" applyAlignment="1">
      <alignment horizontal="left" vertical="top" wrapText="1"/>
    </xf>
    <xf numFmtId="0" fontId="2" fillId="0" borderId="16" xfId="0" quotePrefix="1" applyFont="1" applyBorder="1" applyAlignment="1">
      <alignment horizontal="right" vertical="top" wrapText="1"/>
    </xf>
    <xf numFmtId="0" fontId="8" fillId="0" borderId="15" xfId="0" applyFont="1" applyBorder="1" applyAlignment="1">
      <alignment horizontal="center" vertical="top" wrapText="1"/>
    </xf>
    <xf numFmtId="0" fontId="18" fillId="0" borderId="27" xfId="0" applyFont="1" applyBorder="1" applyAlignment="1">
      <alignment vertical="top" wrapText="1"/>
    </xf>
    <xf numFmtId="0" fontId="2" fillId="8" borderId="7" xfId="0" applyFont="1" applyFill="1" applyBorder="1" applyAlignment="1">
      <alignment horizontal="center"/>
    </xf>
    <xf numFmtId="0" fontId="1" fillId="8" borderId="8" xfId="0" applyFont="1" applyFill="1" applyBorder="1" applyAlignment="1">
      <alignment horizontal="center"/>
    </xf>
    <xf numFmtId="0" fontId="1" fillId="8" borderId="9" xfId="0" applyFont="1" applyFill="1" applyBorder="1" applyAlignment="1">
      <alignment horizontal="center"/>
    </xf>
    <xf numFmtId="0" fontId="2" fillId="11" borderId="7" xfId="0" applyFont="1" applyFill="1" applyBorder="1" applyAlignment="1">
      <alignment horizontal="center" vertical="top" wrapText="1"/>
    </xf>
    <xf numFmtId="0" fontId="2" fillId="11" borderId="8" xfId="0" applyFont="1" applyFill="1" applyBorder="1" applyAlignment="1">
      <alignment horizontal="center" vertical="top" wrapText="1"/>
    </xf>
    <xf numFmtId="0" fontId="2" fillId="11" borderId="9" xfId="0" applyFont="1" applyFill="1" applyBorder="1" applyAlignment="1">
      <alignment horizontal="center" vertical="top" wrapText="1"/>
    </xf>
    <xf numFmtId="0" fontId="2" fillId="12" borderId="7" xfId="0" applyFont="1" applyFill="1" applyBorder="1" applyAlignment="1">
      <alignment horizontal="center" vertical="top" wrapText="1"/>
    </xf>
    <xf numFmtId="0" fontId="2" fillId="12" borderId="8" xfId="0" applyFont="1" applyFill="1" applyBorder="1" applyAlignment="1">
      <alignment horizontal="center" vertical="top" wrapText="1"/>
    </xf>
    <xf numFmtId="0" fontId="2" fillId="12" borderId="9" xfId="0" applyFont="1" applyFill="1" applyBorder="1" applyAlignment="1">
      <alignment horizontal="center" vertical="top" wrapText="1"/>
    </xf>
    <xf numFmtId="0" fontId="2" fillId="4" borderId="30" xfId="0" applyFont="1" applyFill="1" applyBorder="1" applyAlignment="1">
      <alignment horizontal="center" vertical="top" wrapText="1"/>
    </xf>
    <xf numFmtId="0" fontId="2" fillId="4" borderId="31" xfId="0" applyFont="1" applyFill="1" applyBorder="1" applyAlignment="1">
      <alignment horizontal="center" vertical="top" wrapText="1"/>
    </xf>
    <xf numFmtId="0" fontId="2" fillId="4" borderId="32" xfId="0" applyFont="1" applyFill="1" applyBorder="1" applyAlignment="1">
      <alignment horizontal="center" vertical="top" wrapText="1"/>
    </xf>
    <xf numFmtId="0" fontId="5" fillId="5" borderId="7" xfId="0" applyFont="1" applyFill="1" applyBorder="1" applyAlignment="1">
      <alignment horizontal="center" vertical="top" wrapText="1"/>
    </xf>
    <xf numFmtId="0" fontId="2" fillId="5" borderId="8" xfId="0" applyFont="1" applyFill="1" applyBorder="1" applyAlignment="1">
      <alignment horizontal="center" vertical="top" wrapText="1"/>
    </xf>
    <xf numFmtId="0" fontId="2" fillId="5" borderId="9" xfId="0" applyFont="1" applyFill="1" applyBorder="1" applyAlignment="1">
      <alignment horizontal="center" vertical="top" wrapText="1"/>
    </xf>
    <xf numFmtId="0" fontId="11" fillId="8" borderId="7" xfId="0" applyFont="1" applyFill="1" applyBorder="1" applyAlignment="1">
      <alignment horizontal="center"/>
    </xf>
    <xf numFmtId="0" fontId="5" fillId="14" borderId="35" xfId="0" applyFont="1" applyFill="1" applyBorder="1" applyAlignment="1">
      <alignment horizontal="center" vertical="top"/>
    </xf>
    <xf numFmtId="0" fontId="5" fillId="14" borderId="28" xfId="0" applyFont="1" applyFill="1" applyBorder="1" applyAlignment="1">
      <alignment horizontal="center" vertical="top"/>
    </xf>
    <xf numFmtId="0" fontId="5" fillId="14" borderId="8" xfId="0" applyFont="1" applyFill="1" applyBorder="1" applyAlignment="1">
      <alignment horizontal="center" vertical="top"/>
    </xf>
    <xf numFmtId="0" fontId="5" fillId="14" borderId="36" xfId="0" applyFont="1" applyFill="1" applyBorder="1" applyAlignment="1">
      <alignment horizontal="center" vertical="top"/>
    </xf>
    <xf numFmtId="0" fontId="5" fillId="7" borderId="7" xfId="0" applyFont="1" applyFill="1" applyBorder="1" applyAlignment="1">
      <alignment horizontal="center" vertical="top" wrapText="1"/>
    </xf>
    <xf numFmtId="0" fontId="5" fillId="7" borderId="8" xfId="0" applyFont="1" applyFill="1" applyBorder="1" applyAlignment="1">
      <alignment horizontal="center" vertical="top" wrapText="1"/>
    </xf>
    <xf numFmtId="0" fontId="5" fillId="7" borderId="9" xfId="0" applyFont="1" applyFill="1" applyBorder="1" applyAlignment="1">
      <alignment horizontal="center" vertical="top" wrapText="1"/>
    </xf>
    <xf numFmtId="0" fontId="0" fillId="8" borderId="8" xfId="0" applyFill="1" applyBorder="1" applyAlignment="1">
      <alignment horizontal="center"/>
    </xf>
    <xf numFmtId="0" fontId="0" fillId="8" borderId="9" xfId="0" applyFill="1" applyBorder="1" applyAlignment="1">
      <alignment horizontal="center"/>
    </xf>
    <xf numFmtId="0" fontId="2" fillId="18" borderId="7" xfId="0" applyFont="1" applyFill="1" applyBorder="1" applyAlignment="1">
      <alignment horizontal="center"/>
    </xf>
    <xf numFmtId="0" fontId="0" fillId="18" borderId="8" xfId="0" applyFill="1" applyBorder="1" applyAlignment="1">
      <alignment horizontal="center"/>
    </xf>
    <xf numFmtId="0" fontId="0" fillId="18" borderId="9" xfId="0" applyFill="1" applyBorder="1" applyAlignment="1">
      <alignment horizontal="center"/>
    </xf>
    <xf numFmtId="0" fontId="2" fillId="20" borderId="7" xfId="0" applyFont="1" applyFill="1" applyBorder="1" applyAlignment="1">
      <alignment horizontal="center"/>
    </xf>
    <xf numFmtId="0" fontId="0" fillId="20" borderId="8" xfId="0" applyFill="1" applyBorder="1" applyAlignment="1">
      <alignment horizontal="center"/>
    </xf>
    <xf numFmtId="0" fontId="0" fillId="20" borderId="9" xfId="0" applyFill="1" applyBorder="1" applyAlignment="1">
      <alignment horizontal="center"/>
    </xf>
    <xf numFmtId="0" fontId="5" fillId="18" borderId="7" xfId="0" applyFont="1" applyFill="1" applyBorder="1" applyAlignment="1">
      <alignment horizontal="center" vertical="top" wrapText="1"/>
    </xf>
    <xf numFmtId="0" fontId="2" fillId="18" borderId="8" xfId="0" applyFont="1" applyFill="1" applyBorder="1" applyAlignment="1">
      <alignment horizontal="center" vertical="top" wrapText="1"/>
    </xf>
    <xf numFmtId="0" fontId="2" fillId="18" borderId="9" xfId="0" applyFont="1" applyFill="1" applyBorder="1" applyAlignment="1">
      <alignment horizontal="center" vertical="top" wrapText="1"/>
    </xf>
    <xf numFmtId="0" fontId="5" fillId="17" borderId="7" xfId="0" applyFont="1" applyFill="1" applyBorder="1" applyAlignment="1">
      <alignment horizontal="center" vertical="top" wrapText="1"/>
    </xf>
    <xf numFmtId="0" fontId="2" fillId="17" borderId="8" xfId="0" applyFont="1" applyFill="1" applyBorder="1" applyAlignment="1">
      <alignment horizontal="center" vertical="top" wrapText="1"/>
    </xf>
    <xf numFmtId="0" fontId="2" fillId="17" borderId="9" xfId="0" applyFont="1" applyFill="1" applyBorder="1" applyAlignment="1">
      <alignment horizontal="center" vertical="top" wrapText="1"/>
    </xf>
    <xf numFmtId="0" fontId="2" fillId="22" borderId="30" xfId="0" applyFont="1" applyFill="1" applyBorder="1" applyAlignment="1">
      <alignment horizontal="center" vertical="top" wrapText="1"/>
    </xf>
    <xf numFmtId="0" fontId="2" fillId="22" borderId="31" xfId="0" applyFont="1" applyFill="1" applyBorder="1" applyAlignment="1">
      <alignment horizontal="center" vertical="top" wrapText="1"/>
    </xf>
    <xf numFmtId="0" fontId="2" fillId="22" borderId="32" xfId="0" applyFont="1" applyFill="1" applyBorder="1" applyAlignment="1">
      <alignment horizontal="center" vertical="top" wrapText="1"/>
    </xf>
    <xf numFmtId="0" fontId="5" fillId="4" borderId="43" xfId="0" applyFont="1" applyFill="1" applyBorder="1" applyAlignment="1">
      <alignment horizontal="center" vertical="top" wrapText="1"/>
    </xf>
    <xf numFmtId="0" fontId="5" fillId="4" borderId="44" xfId="0" applyFont="1" applyFill="1" applyBorder="1" applyAlignment="1">
      <alignment horizontal="center" vertical="top" wrapText="1"/>
    </xf>
    <xf numFmtId="0" fontId="5" fillId="4" borderId="45" xfId="0" applyFont="1" applyFill="1" applyBorder="1" applyAlignment="1">
      <alignment horizontal="center" vertical="top" wrapText="1"/>
    </xf>
    <xf numFmtId="0" fontId="5" fillId="15" borderId="30" xfId="0" applyFont="1" applyFill="1" applyBorder="1" applyAlignment="1">
      <alignment horizontal="center" vertical="top" wrapText="1"/>
    </xf>
    <xf numFmtId="0" fontId="5" fillId="15" borderId="31" xfId="0" applyFont="1" applyFill="1" applyBorder="1" applyAlignment="1">
      <alignment horizontal="center" vertical="top" wrapText="1"/>
    </xf>
    <xf numFmtId="0" fontId="5" fillId="15" borderId="32" xfId="0" applyFont="1" applyFill="1" applyBorder="1" applyAlignment="1">
      <alignment horizontal="center" vertical="top" wrapText="1"/>
    </xf>
    <xf numFmtId="0" fontId="2" fillId="14" borderId="30" xfId="0" applyFont="1" applyFill="1" applyBorder="1" applyAlignment="1">
      <alignment horizontal="center" vertical="top" wrapText="1"/>
    </xf>
    <xf numFmtId="0" fontId="2" fillId="14" borderId="31" xfId="0" applyFont="1" applyFill="1" applyBorder="1" applyAlignment="1">
      <alignment horizontal="center" vertical="top" wrapText="1"/>
    </xf>
    <xf numFmtId="0" fontId="2" fillId="14" borderId="32" xfId="0" applyFont="1" applyFill="1" applyBorder="1" applyAlignment="1">
      <alignment horizontal="center" vertical="top" wrapText="1"/>
    </xf>
    <xf numFmtId="0" fontId="2" fillId="21" borderId="30" xfId="0" applyFont="1" applyFill="1" applyBorder="1" applyAlignment="1">
      <alignment horizontal="center" vertical="top" wrapText="1"/>
    </xf>
    <xf numFmtId="0" fontId="2" fillId="21" borderId="31" xfId="0" applyFont="1" applyFill="1" applyBorder="1" applyAlignment="1">
      <alignment horizontal="center" vertical="top" wrapText="1"/>
    </xf>
    <xf numFmtId="0" fontId="2" fillId="21" borderId="32" xfId="0" applyFont="1" applyFill="1" applyBorder="1" applyAlignment="1">
      <alignment horizontal="center" vertical="top" wrapText="1"/>
    </xf>
    <xf numFmtId="0" fontId="2" fillId="2" borderId="10"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2" borderId="12" xfId="0" applyFont="1" applyFill="1" applyBorder="1" applyAlignment="1">
      <alignment horizontal="center" vertical="top" wrapText="1"/>
    </xf>
    <xf numFmtId="0" fontId="7" fillId="13" borderId="24" xfId="0" applyFont="1" applyFill="1" applyBorder="1" applyAlignment="1">
      <alignment horizontal="center" vertical="top" wrapText="1"/>
    </xf>
    <xf numFmtId="0" fontId="7" fillId="13" borderId="25" xfId="0" applyFont="1" applyFill="1" applyBorder="1" applyAlignment="1">
      <alignment horizontal="center" vertical="top" wrapText="1"/>
    </xf>
    <xf numFmtId="0" fontId="7" fillId="13" borderId="26" xfId="0" applyFont="1" applyFill="1" applyBorder="1" applyAlignment="1">
      <alignment horizontal="center" vertical="top" wrapText="1"/>
    </xf>
    <xf numFmtId="0" fontId="2" fillId="18" borderId="1" xfId="0" applyFont="1" applyFill="1" applyBorder="1" applyAlignment="1">
      <alignment horizontal="center" vertical="top" wrapText="1"/>
    </xf>
    <xf numFmtId="0" fontId="2" fillId="19" borderId="2" xfId="0" applyFont="1" applyFill="1" applyBorder="1" applyAlignment="1">
      <alignment horizontal="center" vertical="top" wrapText="1"/>
    </xf>
    <xf numFmtId="0" fontId="2" fillId="19" borderId="3" xfId="0" applyFont="1" applyFill="1" applyBorder="1" applyAlignment="1">
      <alignment horizontal="center" vertical="top" wrapText="1"/>
    </xf>
    <xf numFmtId="0" fontId="2" fillId="19" borderId="4" xfId="0" applyFont="1" applyFill="1" applyBorder="1" applyAlignment="1">
      <alignment horizontal="center" vertical="top" wrapText="1"/>
    </xf>
    <xf numFmtId="0" fontId="2" fillId="18" borderId="20" xfId="0" applyFont="1" applyFill="1" applyBorder="1" applyAlignment="1">
      <alignment horizontal="center" vertical="top" wrapText="1"/>
    </xf>
    <xf numFmtId="0" fontId="2" fillId="18" borderId="21" xfId="0" applyFont="1" applyFill="1" applyBorder="1" applyAlignment="1">
      <alignment horizontal="center" vertical="top" wrapText="1"/>
    </xf>
    <xf numFmtId="0" fontId="2" fillId="18" borderId="2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ofi Ntim Yeboah-Kordieh" id="{89385BED-7F73-4BF5-8D4C-3B290C1C7192}" userId="S::kofi.yeboah-kordieh@nca.org.gh::e26f1c8d-a150-48b8-9996-2db1c895ab49" providerId="AD"/>
  <person displayName="Guest User" id="{50E36849-5D87-4F18-903A-BE346A774548}" userId="S::urn:spo:anon#b7de9ed0cf0ae950e75e87f6ae2e31b6acf582188876fde0e1f814bfdae7d25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0" dT="2024-12-20T10:30:52.32" personId="{50E36849-5D87-4F18-903A-BE346A774548}" id="{9124A40B-8FCE-40FC-9523-FF3028E11452}">
    <text>Kindly check the fees again. If the application fee 3850, why is the authorisation fee lower than that of Akim Oda?</text>
  </threadedComment>
  <threadedComment ref="H11" dT="2024-12-20T10:32:25.16" personId="{50E36849-5D87-4F18-903A-BE346A774548}" id="{0F9489D3-355B-4ABC-B1BC-B806D8953377}">
    <text>The application fee is less than that of Tamale but the authorisation fee is the same as that of Tamale. Please check.</text>
  </threadedComment>
  <threadedComment ref="I13" dT="2024-12-20T10:33:02.61" personId="{50E36849-5D87-4F18-903A-BE346A774548}" id="{BADE6165-B516-4980-BC48-162574FCAA0B}">
    <text>Check this one as well.</text>
  </threadedComment>
  <threadedComment ref="H14" dT="2024-12-20T10:33:39.14" personId="{50E36849-5D87-4F18-903A-BE346A774548}" id="{4DB9A10C-9B79-4A03-AF06-7383BBAD747B}">
    <text>Check the application and authorisation fees.</text>
  </threadedComment>
  <threadedComment ref="H15" dT="2024-12-20T10:34:02.74" personId="{50E36849-5D87-4F18-903A-BE346A774548}" id="{7D1176E7-8F10-49B9-BA00-AAF3E9C94EDF}">
    <text>Check the authorisation fees again.</text>
  </threadedComment>
  <threadedComment ref="I16" dT="2024-12-20T10:34:28.16" personId="{50E36849-5D87-4F18-903A-BE346A774548}" id="{3204679B-A36D-49F7-AD94-C47C40367B68}">
    <text>The authorisation fee is not correct.</text>
  </threadedComment>
  <threadedComment ref="H17" dT="2024-12-20T10:36:39.21" personId="{89385BED-7F73-4BF5-8D4C-3B290C1C7192}" id="{7775B52C-68E0-42BD-9985-7E1063E2A929}">
    <text>Application fee for Tamale is not correct.</text>
  </threadedComment>
  <threadedComment ref="I18" dT="2024-12-20T10:36:58.90" personId="{89385BED-7F73-4BF5-8D4C-3B290C1C7192}" id="{826EE1D4-A094-4597-87F6-EFA86B9594FB}">
    <text>Check the authorisation fees.</text>
  </threadedComment>
  <threadedComment ref="H19" dT="2024-12-20T10:37:56.42" personId="{89385BED-7F73-4BF5-8D4C-3B290C1C7192}" id="{05BAA5CE-9036-49B0-856C-CB9F9B37017F}">
    <text>Is the application fee for Ho 1925 or 2887.50. Let's be consistent.</text>
  </threadedComment>
  <threadedComment ref="I19" dT="2024-12-20T10:35:56.73" personId="{89385BED-7F73-4BF5-8D4C-3B290C1C7192}" id="{2A3246FE-EB03-4326-8F57-F4A90B015058}">
    <text>Check the authorisation fees.</text>
  </threadedComment>
  <threadedComment ref="H20" dT="2024-12-20T10:38:26.04" personId="{89385BED-7F73-4BF5-8D4C-3B290C1C7192}" id="{64168242-CE7D-4155-B5BC-63A03B8C2C4F}">
    <text>Check the application fee.</text>
  </threadedComment>
  <threadedComment ref="I21" dT="2024-12-20T10:38:54.26" personId="{89385BED-7F73-4BF5-8D4C-3B290C1C7192}" id="{5EB9666C-9A81-42A2-9569-49EDDBE01EF7}">
    <text>Check the authorisation fee.</text>
  </threadedComment>
  <threadedComment ref="H27" dT="2024-12-20T10:39:41.72" personId="{89385BED-7F73-4BF5-8D4C-3B290C1C7192}" id="{AB5152CA-6723-46E6-B1A8-1B9F7EAFE5C3}">
    <text>Check the application fee.</text>
  </threadedComment>
  <threadedComment ref="H33" dT="2024-12-20T10:41:40.63" personId="{89385BED-7F73-4BF5-8D4C-3B290C1C7192}" id="{0C90FB6D-5116-4E88-9D5E-437B8CBDF7BE}">
    <text>Check the application fee and authorisation fee.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7"/>
  <sheetViews>
    <sheetView tabSelected="1" topLeftCell="A32" workbookViewId="0">
      <selection activeCell="A27" sqref="A27:A35"/>
    </sheetView>
  </sheetViews>
  <sheetFormatPr defaultRowHeight="15"/>
  <cols>
    <col min="2" max="2" width="29.42578125" bestFit="1" customWidth="1"/>
    <col min="3" max="3" width="16.7109375" customWidth="1"/>
    <col min="4" max="4" width="17" customWidth="1"/>
    <col min="5" max="5" width="17.5703125" customWidth="1"/>
    <col min="6" max="6" width="13.7109375" customWidth="1"/>
    <col min="7" max="7" width="13.42578125" customWidth="1"/>
    <col min="8" max="8" width="30.85546875" customWidth="1"/>
    <col min="9" max="9" width="19.85546875" customWidth="1"/>
    <col min="10" max="10" width="0" hidden="1" customWidth="1"/>
    <col min="11" max="11" width="9.140625" customWidth="1"/>
  </cols>
  <sheetData>
    <row r="1" spans="1:9" ht="20.25" customHeight="1">
      <c r="A1" s="221" t="s">
        <v>0</v>
      </c>
      <c r="B1" s="222"/>
      <c r="C1" s="222"/>
      <c r="D1" s="222"/>
      <c r="E1" s="222"/>
      <c r="F1" s="222"/>
      <c r="G1" s="222"/>
      <c r="H1" s="222"/>
      <c r="I1" s="223"/>
    </row>
    <row r="2" spans="1:9">
      <c r="A2" s="68" t="s">
        <v>1</v>
      </c>
      <c r="B2" s="69"/>
      <c r="C2" s="69"/>
      <c r="D2" s="69"/>
      <c r="E2" s="69"/>
      <c r="F2" s="69"/>
      <c r="G2" s="69"/>
      <c r="H2" s="70"/>
      <c r="I2" s="71"/>
    </row>
    <row r="3" spans="1:9">
      <c r="A3" s="224" t="s">
        <v>2</v>
      </c>
      <c r="B3" s="225"/>
      <c r="C3" s="225"/>
      <c r="D3" s="225"/>
      <c r="E3" s="225"/>
      <c r="F3" s="225"/>
      <c r="G3" s="225"/>
      <c r="H3" s="225"/>
      <c r="I3" s="226"/>
    </row>
    <row r="4" spans="1:9" ht="27" customHeight="1">
      <c r="A4" s="72" t="s">
        <v>3</v>
      </c>
      <c r="B4" s="73" t="s">
        <v>4</v>
      </c>
      <c r="C4" s="73" t="s">
        <v>5</v>
      </c>
      <c r="D4" s="73" t="s">
        <v>6</v>
      </c>
      <c r="E4" s="73" t="s">
        <v>7</v>
      </c>
      <c r="F4" s="73" t="s">
        <v>8</v>
      </c>
      <c r="G4" s="73" t="s">
        <v>9</v>
      </c>
      <c r="H4" s="73" t="s">
        <v>10</v>
      </c>
      <c r="I4" s="74" t="s">
        <v>11</v>
      </c>
    </row>
    <row r="5" spans="1:9" ht="129">
      <c r="A5" s="75">
        <v>1</v>
      </c>
      <c r="B5" s="76" t="s">
        <v>12</v>
      </c>
      <c r="C5" s="77" t="s">
        <v>13</v>
      </c>
      <c r="D5" s="78" t="s">
        <v>14</v>
      </c>
      <c r="E5" s="79" t="s">
        <v>15</v>
      </c>
      <c r="F5" s="79" t="s">
        <v>16</v>
      </c>
      <c r="G5" s="76" t="s">
        <v>17</v>
      </c>
      <c r="H5" s="77" t="s">
        <v>18</v>
      </c>
      <c r="I5" s="14">
        <f>(38500+8662.5+3080)</f>
        <v>50242.5</v>
      </c>
    </row>
    <row r="6" spans="1:9" ht="129">
      <c r="A6" s="13">
        <v>2</v>
      </c>
      <c r="B6" s="49" t="s">
        <v>19</v>
      </c>
      <c r="C6" s="12" t="s">
        <v>20</v>
      </c>
      <c r="D6" s="12" t="s">
        <v>21</v>
      </c>
      <c r="E6" s="50" t="s">
        <v>15</v>
      </c>
      <c r="F6" s="50" t="s">
        <v>22</v>
      </c>
      <c r="G6" s="19" t="s">
        <v>23</v>
      </c>
      <c r="H6" s="12" t="s">
        <v>24</v>
      </c>
      <c r="I6" s="14">
        <f>(15400+5775+770)</f>
        <v>21945</v>
      </c>
    </row>
    <row r="7" spans="1:9" ht="129">
      <c r="A7" s="13">
        <v>3</v>
      </c>
      <c r="B7" s="49" t="s">
        <v>25</v>
      </c>
      <c r="C7" s="12" t="s">
        <v>26</v>
      </c>
      <c r="D7" s="12" t="s">
        <v>26</v>
      </c>
      <c r="E7" s="50" t="s">
        <v>15</v>
      </c>
      <c r="F7" s="50" t="s">
        <v>16</v>
      </c>
      <c r="G7" s="19" t="s">
        <v>17</v>
      </c>
      <c r="H7" s="12" t="s">
        <v>18</v>
      </c>
      <c r="I7" s="14">
        <f>(38500+8662.5+3080)</f>
        <v>50242.5</v>
      </c>
    </row>
    <row r="8" spans="1:9" ht="129">
      <c r="A8" s="13">
        <v>4</v>
      </c>
      <c r="B8" s="19" t="s">
        <v>27</v>
      </c>
      <c r="C8" s="12" t="s">
        <v>28</v>
      </c>
      <c r="D8" s="12" t="s">
        <v>29</v>
      </c>
      <c r="E8" s="50" t="s">
        <v>15</v>
      </c>
      <c r="F8" s="50" t="s">
        <v>16</v>
      </c>
      <c r="G8" s="19" t="s">
        <v>30</v>
      </c>
      <c r="H8" s="12" t="s">
        <v>24</v>
      </c>
      <c r="I8" s="14">
        <f>(26950+5775+2310)</f>
        <v>35035</v>
      </c>
    </row>
    <row r="9" spans="1:9" ht="129">
      <c r="A9" s="13">
        <v>5</v>
      </c>
      <c r="B9" s="19" t="s">
        <v>31</v>
      </c>
      <c r="C9" s="12" t="s">
        <v>32</v>
      </c>
      <c r="D9" s="12" t="s">
        <v>32</v>
      </c>
      <c r="E9" s="50" t="s">
        <v>15</v>
      </c>
      <c r="F9" s="50" t="s">
        <v>16</v>
      </c>
      <c r="G9" s="19" t="s">
        <v>33</v>
      </c>
      <c r="H9" s="12" t="s">
        <v>24</v>
      </c>
      <c r="I9" s="14">
        <f>(26950+7700+2695)</f>
        <v>37345</v>
      </c>
    </row>
    <row r="10" spans="1:9" ht="129">
      <c r="A10" s="13">
        <v>6</v>
      </c>
      <c r="B10" s="48" t="s">
        <v>34</v>
      </c>
      <c r="C10" s="12" t="s">
        <v>35</v>
      </c>
      <c r="D10" s="60" t="s">
        <v>36</v>
      </c>
      <c r="E10" s="50" t="s">
        <v>15</v>
      </c>
      <c r="F10" s="50" t="s">
        <v>22</v>
      </c>
      <c r="G10" s="49" t="s">
        <v>37</v>
      </c>
      <c r="H10" s="12" t="s">
        <v>18</v>
      </c>
      <c r="I10" s="14">
        <f>(19250+8662.5+1540)</f>
        <v>29452.5</v>
      </c>
    </row>
    <row r="11" spans="1:9" ht="129">
      <c r="A11" s="13">
        <v>7</v>
      </c>
      <c r="B11" s="48" t="s">
        <v>38</v>
      </c>
      <c r="C11" s="12" t="s">
        <v>39</v>
      </c>
      <c r="D11" s="60" t="s">
        <v>40</v>
      </c>
      <c r="E11" s="50" t="s">
        <v>15</v>
      </c>
      <c r="F11" s="50" t="s">
        <v>16</v>
      </c>
      <c r="G11" s="19" t="s">
        <v>41</v>
      </c>
      <c r="H11" s="12" t="s">
        <v>18</v>
      </c>
      <c r="I11" s="14">
        <f>(38500+8662.5+3080)</f>
        <v>50242.5</v>
      </c>
    </row>
    <row r="12" spans="1:9" ht="129">
      <c r="A12" s="13">
        <v>8</v>
      </c>
      <c r="B12" s="48" t="s">
        <v>42</v>
      </c>
      <c r="C12" s="12" t="s">
        <v>43</v>
      </c>
      <c r="D12" s="12" t="s">
        <v>43</v>
      </c>
      <c r="E12" s="50" t="s">
        <v>15</v>
      </c>
      <c r="F12" s="50" t="s">
        <v>16</v>
      </c>
      <c r="G12" s="19" t="s">
        <v>44</v>
      </c>
      <c r="H12" s="12" t="s">
        <v>24</v>
      </c>
      <c r="I12" s="14">
        <f>(26950+5775+2310)</f>
        <v>35035</v>
      </c>
    </row>
    <row r="13" spans="1:9" ht="129">
      <c r="A13" s="13">
        <v>9</v>
      </c>
      <c r="B13" s="48" t="s">
        <v>45</v>
      </c>
      <c r="C13" s="12" t="s">
        <v>46</v>
      </c>
      <c r="D13" s="12" t="s">
        <v>40</v>
      </c>
      <c r="E13" s="50" t="s">
        <v>15</v>
      </c>
      <c r="F13" s="50" t="s">
        <v>22</v>
      </c>
      <c r="G13" s="19" t="s">
        <v>47</v>
      </c>
      <c r="H13" s="12" t="s">
        <v>18</v>
      </c>
      <c r="I13" s="14">
        <f>(19250+8662.5+1540)</f>
        <v>29452.5</v>
      </c>
    </row>
    <row r="14" spans="1:9" ht="129">
      <c r="A14" s="13">
        <v>10</v>
      </c>
      <c r="B14" s="48" t="s">
        <v>42</v>
      </c>
      <c r="C14" s="12" t="s">
        <v>43</v>
      </c>
      <c r="D14" s="12" t="s">
        <v>43</v>
      </c>
      <c r="E14" s="50" t="s">
        <v>15</v>
      </c>
      <c r="F14" s="50" t="s">
        <v>22</v>
      </c>
      <c r="G14" s="19" t="s">
        <v>48</v>
      </c>
      <c r="H14" s="12" t="s">
        <v>18</v>
      </c>
      <c r="I14" s="14">
        <f>(19250+8662.5+1540)</f>
        <v>29452.5</v>
      </c>
    </row>
    <row r="15" spans="1:9" ht="129">
      <c r="A15" s="13">
        <v>11</v>
      </c>
      <c r="B15" s="48" t="s">
        <v>38</v>
      </c>
      <c r="C15" s="9" t="s">
        <v>49</v>
      </c>
      <c r="D15" s="9" t="s">
        <v>40</v>
      </c>
      <c r="E15" s="11" t="s">
        <v>15</v>
      </c>
      <c r="F15" s="160" t="s">
        <v>16</v>
      </c>
      <c r="G15" s="49" t="s">
        <v>50</v>
      </c>
      <c r="H15" s="12" t="s">
        <v>18</v>
      </c>
      <c r="I15" s="14">
        <f>(38500+8662.5+3080)</f>
        <v>50242.5</v>
      </c>
    </row>
    <row r="16" spans="1:9" ht="129">
      <c r="A16" s="13">
        <v>12</v>
      </c>
      <c r="B16" s="53" t="s">
        <v>51</v>
      </c>
      <c r="C16" s="9" t="s">
        <v>52</v>
      </c>
      <c r="D16" s="9" t="s">
        <v>52</v>
      </c>
      <c r="E16" s="11" t="s">
        <v>15</v>
      </c>
      <c r="F16" s="160" t="s">
        <v>22</v>
      </c>
      <c r="G16" s="19" t="s">
        <v>53</v>
      </c>
      <c r="H16" s="12" t="s">
        <v>54</v>
      </c>
      <c r="I16" s="14">
        <v>30415</v>
      </c>
    </row>
    <row r="17" spans="1:9" ht="129">
      <c r="A17" s="13">
        <v>13</v>
      </c>
      <c r="B17" s="48" t="s">
        <v>55</v>
      </c>
      <c r="C17" s="9" t="s">
        <v>56</v>
      </c>
      <c r="D17" s="9" t="s">
        <v>57</v>
      </c>
      <c r="E17" s="11" t="s">
        <v>15</v>
      </c>
      <c r="F17" s="7" t="s">
        <v>16</v>
      </c>
      <c r="G17" s="19" t="s">
        <v>17</v>
      </c>
      <c r="H17" s="12" t="s">
        <v>18</v>
      </c>
      <c r="I17" s="14">
        <f>(38500+8662.5+3080)</f>
        <v>50242.5</v>
      </c>
    </row>
    <row r="18" spans="1:9" ht="129">
      <c r="A18" s="13">
        <v>14</v>
      </c>
      <c r="B18" s="48" t="s">
        <v>58</v>
      </c>
      <c r="C18" s="9" t="s">
        <v>59</v>
      </c>
      <c r="D18" s="60" t="s">
        <v>60</v>
      </c>
      <c r="E18" s="11" t="s">
        <v>15</v>
      </c>
      <c r="F18" s="7" t="s">
        <v>16</v>
      </c>
      <c r="G18" s="19" t="s">
        <v>61</v>
      </c>
      <c r="H18" s="12" t="s">
        <v>24</v>
      </c>
      <c r="I18" s="14">
        <f>(26950+5775+2310)</f>
        <v>35035</v>
      </c>
    </row>
    <row r="19" spans="1:9" ht="129">
      <c r="A19" s="13">
        <v>15</v>
      </c>
      <c r="B19" s="53" t="s">
        <v>62</v>
      </c>
      <c r="C19" s="9" t="s">
        <v>63</v>
      </c>
      <c r="D19" s="60" t="s">
        <v>64</v>
      </c>
      <c r="E19" s="11" t="s">
        <v>15</v>
      </c>
      <c r="F19" s="7" t="s">
        <v>22</v>
      </c>
      <c r="G19" s="19" t="s">
        <v>47</v>
      </c>
      <c r="H19" s="12" t="s">
        <v>18</v>
      </c>
      <c r="I19" s="14">
        <f>(19250+8662.5+1540)</f>
        <v>29452.5</v>
      </c>
    </row>
    <row r="20" spans="1:9" ht="129">
      <c r="A20" s="13">
        <v>16</v>
      </c>
      <c r="B20" s="48" t="s">
        <v>65</v>
      </c>
      <c r="C20" s="9" t="s">
        <v>66</v>
      </c>
      <c r="D20" s="60" t="s">
        <v>67</v>
      </c>
      <c r="E20" s="11" t="s">
        <v>15</v>
      </c>
      <c r="F20" s="7" t="s">
        <v>16</v>
      </c>
      <c r="G20" s="19" t="s">
        <v>17</v>
      </c>
      <c r="H20" s="12" t="s">
        <v>18</v>
      </c>
      <c r="I20" s="14">
        <f>(38500+8662.5+3080)</f>
        <v>50242.5</v>
      </c>
    </row>
    <row r="21" spans="1:9" ht="129">
      <c r="A21" s="13">
        <v>17</v>
      </c>
      <c r="B21" s="48" t="s">
        <v>55</v>
      </c>
      <c r="C21" s="9" t="s">
        <v>68</v>
      </c>
      <c r="D21" s="9" t="s">
        <v>69</v>
      </c>
      <c r="E21" s="11" t="s">
        <v>15</v>
      </c>
      <c r="F21" s="7" t="s">
        <v>22</v>
      </c>
      <c r="G21" s="19" t="s">
        <v>70</v>
      </c>
      <c r="H21" s="12" t="s">
        <v>18</v>
      </c>
      <c r="I21" s="14">
        <f>(19250+8662.5+1540)</f>
        <v>29452.5</v>
      </c>
    </row>
    <row r="22" spans="1:9" ht="129">
      <c r="A22" s="13">
        <v>18</v>
      </c>
      <c r="B22" s="48" t="s">
        <v>71</v>
      </c>
      <c r="C22" s="9" t="s">
        <v>72</v>
      </c>
      <c r="D22" s="9" t="s">
        <v>72</v>
      </c>
      <c r="E22" s="11" t="s">
        <v>15</v>
      </c>
      <c r="F22" s="7" t="s">
        <v>22</v>
      </c>
      <c r="G22" s="49" t="s">
        <v>73</v>
      </c>
      <c r="H22" s="12" t="s">
        <v>74</v>
      </c>
      <c r="I22" s="14">
        <f>(11550+3850+770)</f>
        <v>16170</v>
      </c>
    </row>
    <row r="23" spans="1:9" ht="129">
      <c r="A23" s="45">
        <v>19</v>
      </c>
      <c r="B23" s="80" t="s">
        <v>75</v>
      </c>
      <c r="C23" s="16" t="s">
        <v>76</v>
      </c>
      <c r="D23" s="26" t="s">
        <v>77</v>
      </c>
      <c r="E23" s="18" t="s">
        <v>78</v>
      </c>
      <c r="F23" s="46" t="s">
        <v>79</v>
      </c>
      <c r="G23" s="95" t="s">
        <v>80</v>
      </c>
      <c r="H23" s="81" t="s">
        <v>81</v>
      </c>
      <c r="I23" s="47">
        <f>(770+770)</f>
        <v>1540</v>
      </c>
    </row>
    <row r="24" spans="1:9">
      <c r="A24" s="232" t="s">
        <v>82</v>
      </c>
      <c r="B24" s="233"/>
      <c r="C24" s="233"/>
      <c r="D24" s="233"/>
      <c r="E24" s="233"/>
      <c r="F24" s="233"/>
      <c r="G24" s="233"/>
      <c r="H24" s="233"/>
      <c r="I24" s="234"/>
    </row>
    <row r="25" spans="1:9" ht="66.75" customHeight="1">
      <c r="A25" s="72" t="s">
        <v>3</v>
      </c>
      <c r="B25" s="73" t="s">
        <v>4</v>
      </c>
      <c r="C25" s="73" t="s">
        <v>5</v>
      </c>
      <c r="D25" s="73" t="s">
        <v>6</v>
      </c>
      <c r="E25" s="73" t="s">
        <v>7</v>
      </c>
      <c r="F25" s="73" t="s">
        <v>8</v>
      </c>
      <c r="G25" s="73" t="s">
        <v>9</v>
      </c>
      <c r="H25" s="73" t="s">
        <v>10</v>
      </c>
      <c r="I25" s="74" t="s">
        <v>11</v>
      </c>
    </row>
    <row r="26" spans="1:9" ht="128.25" customHeight="1">
      <c r="A26" s="75">
        <v>1</v>
      </c>
      <c r="B26" s="82" t="s">
        <v>83</v>
      </c>
      <c r="C26" s="24" t="s">
        <v>84</v>
      </c>
      <c r="D26" s="24" t="s">
        <v>84</v>
      </c>
      <c r="E26" s="27" t="s">
        <v>15</v>
      </c>
      <c r="F26" s="27" t="s">
        <v>16</v>
      </c>
      <c r="G26" s="83" t="s">
        <v>85</v>
      </c>
      <c r="H26" s="84" t="s">
        <v>54</v>
      </c>
      <c r="I26" s="14">
        <f>(38500+9625+3080)</f>
        <v>51205</v>
      </c>
    </row>
    <row r="27" spans="1:9" ht="128.25" customHeight="1">
      <c r="A27" s="13">
        <f>SUM(A26,1)</f>
        <v>2</v>
      </c>
      <c r="B27" s="19" t="s">
        <v>86</v>
      </c>
      <c r="C27" s="9" t="s">
        <v>87</v>
      </c>
      <c r="D27" s="9" t="s">
        <v>88</v>
      </c>
      <c r="E27" s="11" t="s">
        <v>15</v>
      </c>
      <c r="F27" s="11" t="s">
        <v>16</v>
      </c>
      <c r="G27" s="19" t="s">
        <v>89</v>
      </c>
      <c r="H27" s="52" t="s">
        <v>24</v>
      </c>
      <c r="I27" s="15">
        <f>(26950+5775+2310)</f>
        <v>35035</v>
      </c>
    </row>
    <row r="28" spans="1:9" ht="128.25" customHeight="1">
      <c r="A28" s="13">
        <f t="shared" ref="A28:A31" si="0">SUM(A27,1)</f>
        <v>3</v>
      </c>
      <c r="B28" s="19" t="s">
        <v>90</v>
      </c>
      <c r="C28" s="9" t="s">
        <v>91</v>
      </c>
      <c r="D28" s="9" t="s">
        <v>92</v>
      </c>
      <c r="E28" s="11" t="s">
        <v>15</v>
      </c>
      <c r="F28" s="11" t="s">
        <v>16</v>
      </c>
      <c r="G28" s="19" t="s">
        <v>93</v>
      </c>
      <c r="H28" s="52" t="s">
        <v>54</v>
      </c>
      <c r="I28" s="14">
        <f>(38500+9625+3080)</f>
        <v>51205</v>
      </c>
    </row>
    <row r="29" spans="1:9" ht="128.25" customHeight="1">
      <c r="A29" s="13">
        <f t="shared" si="0"/>
        <v>4</v>
      </c>
      <c r="B29" s="49" t="s">
        <v>94</v>
      </c>
      <c r="C29" s="9" t="s">
        <v>95</v>
      </c>
      <c r="D29" s="9" t="s">
        <v>95</v>
      </c>
      <c r="E29" s="9" t="s">
        <v>15</v>
      </c>
      <c r="F29" s="11" t="s">
        <v>16</v>
      </c>
      <c r="G29" s="51" t="s">
        <v>93</v>
      </c>
      <c r="H29" s="52" t="s">
        <v>54</v>
      </c>
      <c r="I29" s="14">
        <f>(38500+9625+3080)</f>
        <v>51205</v>
      </c>
    </row>
    <row r="30" spans="1:9" ht="128.25" customHeight="1">
      <c r="A30" s="13">
        <f>SUM(A29,1)</f>
        <v>5</v>
      </c>
      <c r="B30" s="48" t="s">
        <v>96</v>
      </c>
      <c r="C30" s="9" t="s">
        <v>97</v>
      </c>
      <c r="D30" s="9" t="s">
        <v>97</v>
      </c>
      <c r="E30" s="9" t="s">
        <v>15</v>
      </c>
      <c r="F30" s="11" t="s">
        <v>16</v>
      </c>
      <c r="G30" s="48" t="s">
        <v>85</v>
      </c>
      <c r="H30" s="52" t="s">
        <v>54</v>
      </c>
      <c r="I30" s="14">
        <f>(38500+9625+3080)</f>
        <v>51205</v>
      </c>
    </row>
    <row r="31" spans="1:9" ht="262.5" customHeight="1">
      <c r="A31" s="13">
        <f t="shared" si="0"/>
        <v>6</v>
      </c>
      <c r="B31" s="53" t="s">
        <v>98</v>
      </c>
      <c r="C31" s="204" t="s">
        <v>99</v>
      </c>
      <c r="D31" s="9" t="s">
        <v>100</v>
      </c>
      <c r="E31" s="11" t="s">
        <v>15</v>
      </c>
      <c r="F31" s="11" t="s">
        <v>16</v>
      </c>
      <c r="G31" s="48" t="s">
        <v>85</v>
      </c>
      <c r="H31" s="12" t="s">
        <v>54</v>
      </c>
      <c r="I31" s="14">
        <f>(38500+9625+3080)</f>
        <v>51205</v>
      </c>
    </row>
    <row r="32" spans="1:9" ht="128.25" customHeight="1">
      <c r="A32" s="13">
        <f>SUM(A31,1)</f>
        <v>7</v>
      </c>
      <c r="B32" s="53" t="s">
        <v>101</v>
      </c>
      <c r="C32" s="9" t="s">
        <v>102</v>
      </c>
      <c r="D32" s="9" t="s">
        <v>102</v>
      </c>
      <c r="E32" s="11" t="s">
        <v>15</v>
      </c>
      <c r="F32" s="11" t="s">
        <v>16</v>
      </c>
      <c r="G32" s="48" t="s">
        <v>103</v>
      </c>
      <c r="H32" s="52" t="s">
        <v>54</v>
      </c>
      <c r="I32" s="14">
        <f>(38500+9625+3080)</f>
        <v>51205</v>
      </c>
    </row>
    <row r="33" spans="1:9" ht="128.25" customHeight="1">
      <c r="A33" s="13">
        <f>SUM(A32,1)</f>
        <v>8</v>
      </c>
      <c r="B33" s="85" t="s">
        <v>104</v>
      </c>
      <c r="C33" s="9" t="s">
        <v>105</v>
      </c>
      <c r="D33" s="9" t="s">
        <v>106</v>
      </c>
      <c r="E33" s="11" t="s">
        <v>15</v>
      </c>
      <c r="F33" s="11" t="s">
        <v>16</v>
      </c>
      <c r="G33" s="80" t="s">
        <v>107</v>
      </c>
      <c r="H33" s="86" t="s">
        <v>24</v>
      </c>
      <c r="I33" s="87">
        <f>(26950+5775+2310)</f>
        <v>35035</v>
      </c>
    </row>
    <row r="34" spans="1:9" ht="135" customHeight="1">
      <c r="A34" s="13">
        <f t="shared" ref="A34:A35" si="1">SUM(A33,1)</f>
        <v>9</v>
      </c>
      <c r="B34" s="53" t="s">
        <v>108</v>
      </c>
      <c r="C34" s="168" t="s">
        <v>109</v>
      </c>
      <c r="D34" s="16" t="s">
        <v>109</v>
      </c>
      <c r="E34" s="18" t="s">
        <v>15</v>
      </c>
      <c r="F34" s="166" t="s">
        <v>22</v>
      </c>
      <c r="G34" s="48" t="s">
        <v>110</v>
      </c>
      <c r="H34" s="12" t="s">
        <v>24</v>
      </c>
      <c r="I34" s="165">
        <f>(15400+5775+770)</f>
        <v>21945</v>
      </c>
    </row>
    <row r="35" spans="1:9" ht="135" customHeight="1">
      <c r="A35" s="13">
        <f t="shared" si="1"/>
        <v>10</v>
      </c>
      <c r="B35" s="170" t="s">
        <v>111</v>
      </c>
      <c r="C35" s="9" t="s">
        <v>112</v>
      </c>
      <c r="D35" s="171" t="s">
        <v>77</v>
      </c>
      <c r="E35" s="169" t="s">
        <v>78</v>
      </c>
      <c r="F35" s="167" t="s">
        <v>79</v>
      </c>
      <c r="G35" s="48" t="s">
        <v>113</v>
      </c>
      <c r="H35" s="12" t="s">
        <v>81</v>
      </c>
      <c r="I35" s="165">
        <v>1540</v>
      </c>
    </row>
    <row r="36" spans="1:9">
      <c r="A36" s="228" t="s">
        <v>114</v>
      </c>
      <c r="B36" s="229"/>
      <c r="C36" s="229"/>
      <c r="D36" s="229"/>
      <c r="E36" s="230"/>
      <c r="F36" s="230"/>
      <c r="G36" s="229"/>
      <c r="H36" s="229"/>
      <c r="I36" s="231"/>
    </row>
    <row r="37" spans="1:9" ht="51.75">
      <c r="A37" s="72" t="s">
        <v>3</v>
      </c>
      <c r="B37" s="73" t="s">
        <v>4</v>
      </c>
      <c r="C37" s="73" t="s">
        <v>5</v>
      </c>
      <c r="D37" s="73" t="s">
        <v>6</v>
      </c>
      <c r="E37" s="73" t="s">
        <v>7</v>
      </c>
      <c r="F37" s="73" t="s">
        <v>8</v>
      </c>
      <c r="G37" s="73" t="s">
        <v>9</v>
      </c>
      <c r="H37" s="73" t="s">
        <v>10</v>
      </c>
      <c r="I37" s="74" t="s">
        <v>11</v>
      </c>
    </row>
    <row r="38" spans="1:9" ht="129">
      <c r="A38" s="88">
        <v>1</v>
      </c>
      <c r="B38" s="89" t="s">
        <v>115</v>
      </c>
      <c r="C38" s="90" t="s">
        <v>116</v>
      </c>
      <c r="D38" s="90" t="s">
        <v>117</v>
      </c>
      <c r="E38" s="90" t="s">
        <v>15</v>
      </c>
      <c r="F38" s="22" t="s">
        <v>16</v>
      </c>
      <c r="G38" s="22" t="s">
        <v>53</v>
      </c>
      <c r="H38" s="91" t="s">
        <v>54</v>
      </c>
      <c r="I38" s="14">
        <f>(38500+9625+3080)</f>
        <v>51205</v>
      </c>
    </row>
    <row r="39" spans="1:9">
      <c r="A39" s="227" t="s">
        <v>118</v>
      </c>
      <c r="B39" s="213"/>
      <c r="C39" s="213"/>
      <c r="D39" s="213"/>
      <c r="E39" s="213"/>
      <c r="F39" s="213"/>
      <c r="G39" s="213"/>
      <c r="H39" s="213"/>
      <c r="I39" s="214"/>
    </row>
    <row r="40" spans="1:9" ht="51.75">
      <c r="A40" s="72" t="s">
        <v>3</v>
      </c>
      <c r="B40" s="73" t="s">
        <v>4</v>
      </c>
      <c r="C40" s="73" t="s">
        <v>5</v>
      </c>
      <c r="D40" s="73" t="s">
        <v>6</v>
      </c>
      <c r="E40" s="73" t="s">
        <v>7</v>
      </c>
      <c r="F40" s="73" t="s">
        <v>8</v>
      </c>
      <c r="G40" s="73" t="s">
        <v>9</v>
      </c>
      <c r="H40" s="73" t="s">
        <v>10</v>
      </c>
      <c r="I40" s="74" t="s">
        <v>11</v>
      </c>
    </row>
    <row r="41" spans="1:9" ht="129">
      <c r="A41" s="92">
        <v>1</v>
      </c>
      <c r="B41" s="76" t="s">
        <v>119</v>
      </c>
      <c r="C41" s="24" t="s">
        <v>56</v>
      </c>
      <c r="D41" s="24" t="s">
        <v>57</v>
      </c>
      <c r="E41" s="27" t="s">
        <v>120</v>
      </c>
      <c r="F41" s="27" t="s">
        <v>121</v>
      </c>
      <c r="G41" s="93" t="s">
        <v>85</v>
      </c>
      <c r="H41" s="77" t="s">
        <v>122</v>
      </c>
      <c r="I41" s="161">
        <v>96250</v>
      </c>
    </row>
    <row r="42" spans="1:9" ht="129">
      <c r="A42" s="94">
        <v>2</v>
      </c>
      <c r="B42" s="95" t="s">
        <v>25</v>
      </c>
      <c r="C42" s="16" t="s">
        <v>123</v>
      </c>
      <c r="D42" s="16" t="s">
        <v>123</v>
      </c>
      <c r="E42" s="18" t="s">
        <v>120</v>
      </c>
      <c r="F42" s="18" t="s">
        <v>121</v>
      </c>
      <c r="G42" s="46" t="s">
        <v>85</v>
      </c>
      <c r="H42" s="81" t="s">
        <v>122</v>
      </c>
      <c r="I42" s="162">
        <v>96250</v>
      </c>
    </row>
    <row r="43" spans="1:9">
      <c r="A43" s="215" t="s">
        <v>124</v>
      </c>
      <c r="B43" s="216"/>
      <c r="C43" s="216"/>
      <c r="D43" s="216"/>
      <c r="E43" s="216"/>
      <c r="F43" s="216"/>
      <c r="G43" s="216"/>
      <c r="H43" s="216"/>
      <c r="I43" s="217"/>
    </row>
    <row r="44" spans="1:9" ht="51.75">
      <c r="A44" s="96" t="s">
        <v>3</v>
      </c>
      <c r="B44" s="97" t="s">
        <v>4</v>
      </c>
      <c r="C44" s="97" t="s">
        <v>5</v>
      </c>
      <c r="D44" s="97" t="s">
        <v>6</v>
      </c>
      <c r="E44" s="97" t="s">
        <v>7</v>
      </c>
      <c r="F44" s="97" t="s">
        <v>8</v>
      </c>
      <c r="G44" s="97" t="s">
        <v>9</v>
      </c>
      <c r="H44" s="97" t="s">
        <v>10</v>
      </c>
      <c r="I44" s="98" t="s">
        <v>11</v>
      </c>
    </row>
    <row r="45" spans="1:9" ht="129">
      <c r="A45" s="99">
        <v>1</v>
      </c>
      <c r="B45" s="82" t="s">
        <v>125</v>
      </c>
      <c r="C45" s="24" t="s">
        <v>95</v>
      </c>
      <c r="D45" s="24" t="s">
        <v>95</v>
      </c>
      <c r="E45" s="27" t="s">
        <v>120</v>
      </c>
      <c r="F45" s="27" t="s">
        <v>121</v>
      </c>
      <c r="G45" s="27" t="s">
        <v>85</v>
      </c>
      <c r="H45" s="24" t="s">
        <v>122</v>
      </c>
      <c r="I45" s="163">
        <v>96250</v>
      </c>
    </row>
    <row r="46" spans="1:9" ht="148.5" customHeight="1">
      <c r="A46" s="100">
        <v>2</v>
      </c>
      <c r="B46" s="95" t="s">
        <v>126</v>
      </c>
      <c r="C46" s="16" t="s">
        <v>127</v>
      </c>
      <c r="D46" s="16" t="s">
        <v>127</v>
      </c>
      <c r="E46" s="18" t="s">
        <v>120</v>
      </c>
      <c r="F46" s="18" t="s">
        <v>121</v>
      </c>
      <c r="G46" s="18" t="s">
        <v>85</v>
      </c>
      <c r="H46" s="16" t="s">
        <v>122</v>
      </c>
      <c r="I46" s="164">
        <v>96250</v>
      </c>
    </row>
    <row r="47" spans="1:9">
      <c r="A47" s="218" t="s">
        <v>128</v>
      </c>
      <c r="B47" s="219"/>
      <c r="C47" s="219"/>
      <c r="D47" s="219"/>
      <c r="E47" s="219"/>
      <c r="F47" s="219"/>
      <c r="G47" s="219"/>
      <c r="H47" s="219"/>
      <c r="I47" s="220"/>
    </row>
    <row r="48" spans="1:9" ht="56.25" customHeight="1">
      <c r="A48" s="96" t="s">
        <v>3</v>
      </c>
      <c r="B48" s="97" t="s">
        <v>4</v>
      </c>
      <c r="C48" s="97" t="s">
        <v>5</v>
      </c>
      <c r="D48" s="97" t="s">
        <v>6</v>
      </c>
      <c r="E48" s="97" t="s">
        <v>7</v>
      </c>
      <c r="F48" s="97" t="s">
        <v>129</v>
      </c>
      <c r="G48" s="97" t="s">
        <v>9</v>
      </c>
      <c r="H48" s="97" t="s">
        <v>10</v>
      </c>
      <c r="I48" s="98" t="s">
        <v>11</v>
      </c>
    </row>
    <row r="49" spans="1:14" ht="160.5" customHeight="1">
      <c r="A49" s="99">
        <v>1</v>
      </c>
      <c r="B49" s="76" t="s">
        <v>130</v>
      </c>
      <c r="C49" s="24" t="s">
        <v>131</v>
      </c>
      <c r="D49" s="24" t="s">
        <v>132</v>
      </c>
      <c r="E49" s="27" t="s">
        <v>133</v>
      </c>
      <c r="F49" s="23" t="s">
        <v>134</v>
      </c>
      <c r="G49" s="24" t="s">
        <v>135</v>
      </c>
      <c r="H49" s="24" t="s">
        <v>136</v>
      </c>
      <c r="I49" s="101">
        <v>29645</v>
      </c>
    </row>
    <row r="50" spans="1:14" ht="162.75" customHeight="1">
      <c r="A50" s="65">
        <v>2</v>
      </c>
      <c r="B50" s="19" t="s">
        <v>137</v>
      </c>
      <c r="C50" s="5" t="s">
        <v>138</v>
      </c>
      <c r="D50" s="5" t="s">
        <v>138</v>
      </c>
      <c r="E50" s="11" t="s">
        <v>133</v>
      </c>
      <c r="F50" s="60" t="s">
        <v>139</v>
      </c>
      <c r="G50" s="9" t="s">
        <v>85</v>
      </c>
      <c r="H50" s="9" t="s">
        <v>136</v>
      </c>
      <c r="I50" s="66">
        <v>20405</v>
      </c>
    </row>
    <row r="51" spans="1:14" ht="162.75" customHeight="1">
      <c r="A51" s="65">
        <v>3</v>
      </c>
      <c r="B51" s="19" t="s">
        <v>140</v>
      </c>
      <c r="C51" s="5" t="s">
        <v>141</v>
      </c>
      <c r="D51" s="25" t="s">
        <v>142</v>
      </c>
      <c r="E51" s="11" t="s">
        <v>133</v>
      </c>
      <c r="F51" s="17" t="s">
        <v>143</v>
      </c>
      <c r="G51" s="9" t="s">
        <v>144</v>
      </c>
      <c r="H51" s="9" t="s">
        <v>136</v>
      </c>
      <c r="I51" s="101">
        <v>26180</v>
      </c>
    </row>
    <row r="52" spans="1:14" ht="156.75" customHeight="1">
      <c r="A52" s="100">
        <v>4</v>
      </c>
      <c r="B52" s="95" t="s">
        <v>145</v>
      </c>
      <c r="C52" s="26" t="s">
        <v>146</v>
      </c>
      <c r="D52" s="18" t="s">
        <v>147</v>
      </c>
      <c r="E52" s="18" t="s">
        <v>133</v>
      </c>
      <c r="F52" s="102" t="s">
        <v>148</v>
      </c>
      <c r="G52" s="16" t="s">
        <v>85</v>
      </c>
      <c r="H52" s="16" t="s">
        <v>136</v>
      </c>
      <c r="I52" s="66">
        <v>21560</v>
      </c>
    </row>
    <row r="53" spans="1:14">
      <c r="A53" s="246" t="s">
        <v>149</v>
      </c>
      <c r="B53" s="247"/>
      <c r="C53" s="247"/>
      <c r="D53" s="247"/>
      <c r="E53" s="247"/>
      <c r="F53" s="247"/>
      <c r="G53" s="247"/>
      <c r="H53" s="247"/>
      <c r="I53" s="248"/>
    </row>
    <row r="54" spans="1:14" ht="51.75">
      <c r="A54" s="103" t="s">
        <v>3</v>
      </c>
      <c r="B54" s="104" t="s">
        <v>4</v>
      </c>
      <c r="C54" s="105" t="s">
        <v>5</v>
      </c>
      <c r="D54" s="104" t="s">
        <v>6</v>
      </c>
      <c r="E54" s="104" t="s">
        <v>7</v>
      </c>
      <c r="F54" s="104" t="s">
        <v>8</v>
      </c>
      <c r="G54" s="104" t="s">
        <v>9</v>
      </c>
      <c r="H54" s="104" t="s">
        <v>10</v>
      </c>
      <c r="I54" s="106" t="s">
        <v>11</v>
      </c>
    </row>
    <row r="55" spans="1:14" ht="220.5">
      <c r="A55" s="107">
        <v>1</v>
      </c>
      <c r="B55" s="108" t="s">
        <v>150</v>
      </c>
      <c r="C55" s="109" t="s">
        <v>151</v>
      </c>
      <c r="D55" s="110" t="s">
        <v>152</v>
      </c>
      <c r="E55" s="110" t="s">
        <v>153</v>
      </c>
      <c r="F55" s="108" t="s">
        <v>154</v>
      </c>
      <c r="G55" s="108" t="s">
        <v>154</v>
      </c>
      <c r="H55" s="109" t="s">
        <v>155</v>
      </c>
      <c r="I55" s="172">
        <v>12512.5</v>
      </c>
    </row>
    <row r="56" spans="1:14" ht="220.5">
      <c r="A56" s="67">
        <v>2</v>
      </c>
      <c r="B56" s="51" t="s">
        <v>156</v>
      </c>
      <c r="C56" s="63" t="s">
        <v>157</v>
      </c>
      <c r="D56" s="63" t="s">
        <v>158</v>
      </c>
      <c r="E56" s="61" t="s">
        <v>153</v>
      </c>
      <c r="F56" s="62" t="s">
        <v>159</v>
      </c>
      <c r="G56" s="62" t="s">
        <v>159</v>
      </c>
      <c r="H56" s="63" t="s">
        <v>160</v>
      </c>
      <c r="I56" s="173">
        <v>4742.5</v>
      </c>
    </row>
    <row r="57" spans="1:14" ht="220.5">
      <c r="A57" s="54">
        <v>3</v>
      </c>
      <c r="B57" s="111" t="s">
        <v>161</v>
      </c>
      <c r="C57" s="16" t="s">
        <v>162</v>
      </c>
      <c r="D57" s="16" t="s">
        <v>163</v>
      </c>
      <c r="E57" s="18" t="s">
        <v>153</v>
      </c>
      <c r="F57" s="111" t="s">
        <v>164</v>
      </c>
      <c r="G57" s="111" t="s">
        <v>164</v>
      </c>
      <c r="H57" s="1" t="s">
        <v>165</v>
      </c>
      <c r="I57" s="174">
        <v>2307.9</v>
      </c>
    </row>
    <row r="58" spans="1:14">
      <c r="A58" s="243" t="s">
        <v>166</v>
      </c>
      <c r="B58" s="244"/>
      <c r="C58" s="244"/>
      <c r="D58" s="244"/>
      <c r="E58" s="244"/>
      <c r="F58" s="244"/>
      <c r="G58" s="244"/>
      <c r="H58" s="244"/>
      <c r="I58" s="245"/>
    </row>
    <row r="59" spans="1:14" ht="51.75">
      <c r="A59" s="103" t="s">
        <v>3</v>
      </c>
      <c r="B59" s="104" t="s">
        <v>4</v>
      </c>
      <c r="C59" s="105" t="s">
        <v>5</v>
      </c>
      <c r="D59" s="104" t="s">
        <v>6</v>
      </c>
      <c r="E59" s="104" t="s">
        <v>7</v>
      </c>
      <c r="F59" s="104" t="s">
        <v>8</v>
      </c>
      <c r="G59" s="104" t="s">
        <v>9</v>
      </c>
      <c r="H59" s="104" t="s">
        <v>10</v>
      </c>
      <c r="I59" s="106" t="s">
        <v>11</v>
      </c>
      <c r="J59" s="8"/>
      <c r="K59" s="8"/>
      <c r="L59" s="8"/>
      <c r="M59" s="8"/>
      <c r="N59" s="8"/>
    </row>
    <row r="60" spans="1:14" ht="305.25" customHeight="1">
      <c r="A60" s="112">
        <v>1</v>
      </c>
      <c r="B60" s="22" t="s">
        <v>167</v>
      </c>
      <c r="C60" s="90" t="s">
        <v>168</v>
      </c>
      <c r="D60" s="90" t="s">
        <v>169</v>
      </c>
      <c r="E60" s="90" t="s">
        <v>166</v>
      </c>
      <c r="F60" s="22" t="s">
        <v>121</v>
      </c>
      <c r="G60" s="22" t="s">
        <v>85</v>
      </c>
      <c r="H60" s="113" t="s">
        <v>170</v>
      </c>
      <c r="I60" s="114">
        <v>500000</v>
      </c>
    </row>
    <row r="61" spans="1:14">
      <c r="A61" s="240" t="s">
        <v>171</v>
      </c>
      <c r="B61" s="241"/>
      <c r="C61" s="241"/>
      <c r="D61" s="241"/>
      <c r="E61" s="241"/>
      <c r="F61" s="241"/>
      <c r="G61" s="241"/>
      <c r="H61" s="241"/>
      <c r="I61" s="242"/>
    </row>
    <row r="62" spans="1:14" ht="51.75">
      <c r="A62" s="103" t="s">
        <v>3</v>
      </c>
      <c r="B62" s="104" t="s">
        <v>4</v>
      </c>
      <c r="C62" s="105" t="s">
        <v>5</v>
      </c>
      <c r="D62" s="104" t="s">
        <v>6</v>
      </c>
      <c r="E62" s="104" t="s">
        <v>7</v>
      </c>
      <c r="F62" s="104" t="s">
        <v>8</v>
      </c>
      <c r="G62" s="104" t="s">
        <v>9</v>
      </c>
      <c r="H62" s="104" t="s">
        <v>10</v>
      </c>
      <c r="I62" s="106" t="s">
        <v>11</v>
      </c>
    </row>
    <row r="63" spans="1:14" ht="129">
      <c r="A63" s="99">
        <v>1</v>
      </c>
      <c r="B63" s="24" t="s">
        <v>172</v>
      </c>
      <c r="C63" s="24" t="s">
        <v>173</v>
      </c>
      <c r="D63" s="24" t="s">
        <v>173</v>
      </c>
      <c r="E63" s="24" t="s">
        <v>174</v>
      </c>
      <c r="F63" s="27" t="s">
        <v>121</v>
      </c>
      <c r="G63" s="27" t="s">
        <v>85</v>
      </c>
      <c r="H63" s="115" t="s">
        <v>175</v>
      </c>
      <c r="I63" s="175">
        <v>38500</v>
      </c>
    </row>
    <row r="64" spans="1:14" ht="129">
      <c r="A64" s="64">
        <v>2</v>
      </c>
      <c r="B64" s="48" t="s">
        <v>176</v>
      </c>
      <c r="C64" s="9" t="s">
        <v>177</v>
      </c>
      <c r="D64" s="5" t="s">
        <v>178</v>
      </c>
      <c r="E64" s="9" t="s">
        <v>174</v>
      </c>
      <c r="F64" s="11" t="s">
        <v>121</v>
      </c>
      <c r="G64" s="11" t="s">
        <v>179</v>
      </c>
      <c r="H64" s="44" t="s">
        <v>175</v>
      </c>
      <c r="I64" s="175">
        <v>38500</v>
      </c>
    </row>
    <row r="65" spans="1:9" ht="129">
      <c r="A65" s="64">
        <v>3</v>
      </c>
      <c r="B65" s="48" t="s">
        <v>180</v>
      </c>
      <c r="C65" s="9" t="s">
        <v>181</v>
      </c>
      <c r="D65" s="5" t="s">
        <v>182</v>
      </c>
      <c r="E65" s="9" t="s">
        <v>174</v>
      </c>
      <c r="F65" s="11" t="s">
        <v>121</v>
      </c>
      <c r="G65" s="11" t="s">
        <v>85</v>
      </c>
      <c r="H65" s="44" t="s">
        <v>175</v>
      </c>
      <c r="I65" s="175">
        <v>38500</v>
      </c>
    </row>
    <row r="66" spans="1:9" ht="129">
      <c r="A66" s="64">
        <v>4</v>
      </c>
      <c r="B66" s="48" t="s">
        <v>183</v>
      </c>
      <c r="C66" s="9" t="s">
        <v>184</v>
      </c>
      <c r="D66" s="11" t="s">
        <v>185</v>
      </c>
      <c r="E66" s="9" t="s">
        <v>174</v>
      </c>
      <c r="F66" s="11" t="s">
        <v>121</v>
      </c>
      <c r="G66" s="11" t="s">
        <v>85</v>
      </c>
      <c r="H66" s="44" t="s">
        <v>175</v>
      </c>
      <c r="I66" s="175">
        <v>38500</v>
      </c>
    </row>
    <row r="67" spans="1:9" ht="129">
      <c r="A67" s="64">
        <v>5</v>
      </c>
      <c r="B67" s="48" t="s">
        <v>55</v>
      </c>
      <c r="C67" s="9" t="s">
        <v>186</v>
      </c>
      <c r="D67" s="9" t="s">
        <v>187</v>
      </c>
      <c r="E67" s="9" t="s">
        <v>174</v>
      </c>
      <c r="F67" s="11" t="s">
        <v>121</v>
      </c>
      <c r="G67" s="11" t="s">
        <v>85</v>
      </c>
      <c r="H67" s="9" t="s">
        <v>175</v>
      </c>
      <c r="I67" s="175">
        <v>38500</v>
      </c>
    </row>
    <row r="68" spans="1:9" ht="129">
      <c r="A68" s="94">
        <v>6</v>
      </c>
      <c r="B68" s="80" t="s">
        <v>188</v>
      </c>
      <c r="C68" s="16" t="s">
        <v>189</v>
      </c>
      <c r="D68" s="16" t="s">
        <v>189</v>
      </c>
      <c r="E68" s="16" t="s">
        <v>174</v>
      </c>
      <c r="F68" s="18" t="s">
        <v>121</v>
      </c>
      <c r="G68" s="18" t="s">
        <v>85</v>
      </c>
      <c r="H68" s="116" t="s">
        <v>175</v>
      </c>
      <c r="I68" s="175">
        <v>38500</v>
      </c>
    </row>
    <row r="69" spans="1:9">
      <c r="A69" s="212" t="s">
        <v>190</v>
      </c>
      <c r="B69" s="235"/>
      <c r="C69" s="235"/>
      <c r="D69" s="235"/>
      <c r="E69" s="235"/>
      <c r="F69" s="235"/>
      <c r="G69" s="235"/>
      <c r="H69" s="235"/>
      <c r="I69" s="236"/>
    </row>
    <row r="70" spans="1:9" ht="51.75">
      <c r="A70" s="103" t="s">
        <v>3</v>
      </c>
      <c r="B70" s="104" t="s">
        <v>4</v>
      </c>
      <c r="C70" s="105" t="s">
        <v>5</v>
      </c>
      <c r="D70" s="104" t="s">
        <v>6</v>
      </c>
      <c r="E70" s="104" t="s">
        <v>7</v>
      </c>
      <c r="F70" s="104" t="s">
        <v>8</v>
      </c>
      <c r="G70" s="104" t="s">
        <v>9</v>
      </c>
      <c r="H70" s="104" t="s">
        <v>10</v>
      </c>
      <c r="I70" s="106" t="s">
        <v>11</v>
      </c>
    </row>
    <row r="71" spans="1:9" ht="306.75" customHeight="1">
      <c r="A71" s="112">
        <v>1</v>
      </c>
      <c r="B71" s="89" t="s">
        <v>191</v>
      </c>
      <c r="C71" s="90" t="s">
        <v>192</v>
      </c>
      <c r="D71" s="90" t="s">
        <v>193</v>
      </c>
      <c r="E71" s="90" t="s">
        <v>194</v>
      </c>
      <c r="F71" s="22" t="s">
        <v>121</v>
      </c>
      <c r="G71" s="22" t="s">
        <v>85</v>
      </c>
      <c r="H71" s="113" t="s">
        <v>195</v>
      </c>
      <c r="I71" s="132">
        <v>770000</v>
      </c>
    </row>
    <row r="72" spans="1:9">
      <c r="A72" s="237" t="s">
        <v>196</v>
      </c>
      <c r="B72" s="238"/>
      <c r="C72" s="238"/>
      <c r="D72" s="238"/>
      <c r="E72" s="238"/>
      <c r="F72" s="238"/>
      <c r="G72" s="238"/>
      <c r="H72" s="238"/>
      <c r="I72" s="239"/>
    </row>
    <row r="73" spans="1:9" ht="51.75">
      <c r="A73" s="103" t="s">
        <v>3</v>
      </c>
      <c r="B73" s="104" t="s">
        <v>4</v>
      </c>
      <c r="C73" s="105" t="s">
        <v>5</v>
      </c>
      <c r="D73" s="104" t="s">
        <v>6</v>
      </c>
      <c r="E73" s="104" t="s">
        <v>7</v>
      </c>
      <c r="F73" s="104" t="s">
        <v>8</v>
      </c>
      <c r="G73" s="104" t="s">
        <v>9</v>
      </c>
      <c r="H73" s="104" t="s">
        <v>10</v>
      </c>
      <c r="I73" s="106" t="s">
        <v>11</v>
      </c>
    </row>
    <row r="74" spans="1:9" ht="116.25">
      <c r="A74" s="117">
        <v>1</v>
      </c>
      <c r="B74" s="118" t="s">
        <v>197</v>
      </c>
      <c r="C74" s="120" t="s">
        <v>198</v>
      </c>
      <c r="D74" s="120" t="s">
        <v>199</v>
      </c>
      <c r="E74" s="119" t="s">
        <v>200</v>
      </c>
      <c r="F74" s="120" t="s">
        <v>121</v>
      </c>
      <c r="G74" s="119" t="s">
        <v>85</v>
      </c>
      <c r="H74" s="121" t="s">
        <v>201</v>
      </c>
      <c r="I74" s="176">
        <v>7770</v>
      </c>
    </row>
    <row r="75" spans="1:9">
      <c r="A75" s="212" t="s">
        <v>202</v>
      </c>
      <c r="B75" s="213"/>
      <c r="C75" s="213"/>
      <c r="D75" s="213"/>
      <c r="E75" s="213"/>
      <c r="F75" s="213"/>
      <c r="G75" s="213"/>
      <c r="H75" s="213"/>
      <c r="I75" s="214"/>
    </row>
    <row r="76" spans="1:9" ht="51.75">
      <c r="A76" s="133" t="s">
        <v>3</v>
      </c>
      <c r="B76" s="134" t="s">
        <v>4</v>
      </c>
      <c r="C76" s="135" t="s">
        <v>5</v>
      </c>
      <c r="D76" s="134" t="s">
        <v>6</v>
      </c>
      <c r="E76" s="134" t="s">
        <v>7</v>
      </c>
      <c r="F76" s="134" t="s">
        <v>203</v>
      </c>
      <c r="G76" s="134" t="s">
        <v>8</v>
      </c>
      <c r="H76" s="134" t="s">
        <v>10</v>
      </c>
      <c r="I76" s="136" t="s">
        <v>204</v>
      </c>
    </row>
    <row r="77" spans="1:9" ht="168">
      <c r="A77" s="159">
        <v>1</v>
      </c>
      <c r="B77" s="137" t="s">
        <v>205</v>
      </c>
      <c r="C77" s="139" t="s">
        <v>206</v>
      </c>
      <c r="D77" s="139" t="s">
        <v>207</v>
      </c>
      <c r="E77" s="139" t="s">
        <v>208</v>
      </c>
      <c r="F77" s="138" t="s">
        <v>209</v>
      </c>
      <c r="G77" s="138" t="s">
        <v>121</v>
      </c>
      <c r="H77" s="158" t="s">
        <v>210</v>
      </c>
      <c r="I77" s="177">
        <v>10000</v>
      </c>
    </row>
  </sheetData>
  <mergeCells count="13">
    <mergeCell ref="A75:I75"/>
    <mergeCell ref="A43:I43"/>
    <mergeCell ref="A47:I47"/>
    <mergeCell ref="A1:I1"/>
    <mergeCell ref="A3:I3"/>
    <mergeCell ref="A39:I39"/>
    <mergeCell ref="A36:I36"/>
    <mergeCell ref="A24:I24"/>
    <mergeCell ref="A69:I69"/>
    <mergeCell ref="A72:I72"/>
    <mergeCell ref="A61:I61"/>
    <mergeCell ref="A58:I58"/>
    <mergeCell ref="A53:I53"/>
  </mergeCells>
  <pageMargins left="0.7" right="0.7" top="0.75" bottom="0.75" header="0.3" footer="0.3"/>
  <pageSetup fitToWidth="0" fitToHeight="0"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topLeftCell="A9" workbookViewId="0">
      <selection activeCell="B16" sqref="B16"/>
    </sheetView>
  </sheetViews>
  <sheetFormatPr defaultRowHeight="15"/>
  <cols>
    <col min="1" max="1" width="12.85546875" customWidth="1"/>
    <col min="2" max="2" width="19" customWidth="1"/>
    <col min="3" max="3" width="16.42578125" customWidth="1"/>
    <col min="4" max="4" width="16" customWidth="1"/>
    <col min="5" max="5" width="10.140625" customWidth="1"/>
    <col min="6" max="6" width="13" customWidth="1"/>
    <col min="7" max="7" width="11" customWidth="1"/>
    <col min="8" max="8" width="37.140625" customWidth="1"/>
    <col min="9" max="9" width="16.42578125" customWidth="1"/>
  </cols>
  <sheetData>
    <row r="1" spans="1:9" ht="25.5" customHeight="1">
      <c r="A1" s="252" t="s">
        <v>211</v>
      </c>
      <c r="B1" s="253"/>
      <c r="C1" s="253"/>
      <c r="D1" s="253"/>
      <c r="E1" s="253"/>
      <c r="F1" s="253"/>
      <c r="G1" s="253"/>
      <c r="H1" s="253"/>
      <c r="I1" s="254"/>
    </row>
    <row r="2" spans="1:9">
      <c r="A2" s="8"/>
      <c r="B2" s="8"/>
      <c r="C2" s="8"/>
      <c r="D2" s="8"/>
      <c r="E2" s="8"/>
      <c r="F2" s="8"/>
      <c r="G2" s="8"/>
      <c r="H2" s="8"/>
      <c r="I2" s="8"/>
    </row>
    <row r="3" spans="1:9">
      <c r="A3" s="255" t="s">
        <v>212</v>
      </c>
      <c r="B3" s="256"/>
      <c r="C3" s="256"/>
      <c r="D3" s="256"/>
      <c r="E3" s="256"/>
      <c r="F3" s="256"/>
      <c r="G3" s="256"/>
      <c r="H3" s="256"/>
      <c r="I3" s="257"/>
    </row>
    <row r="4" spans="1:9" ht="51.75">
      <c r="A4" s="126" t="s">
        <v>3</v>
      </c>
      <c r="B4" s="127" t="s">
        <v>4</v>
      </c>
      <c r="C4" s="128" t="s">
        <v>5</v>
      </c>
      <c r="D4" s="129" t="s">
        <v>6</v>
      </c>
      <c r="E4" s="130" t="s">
        <v>7</v>
      </c>
      <c r="F4" s="130" t="s">
        <v>8</v>
      </c>
      <c r="G4" s="130" t="s">
        <v>9</v>
      </c>
      <c r="H4" s="130" t="s">
        <v>10</v>
      </c>
      <c r="I4" s="131" t="s">
        <v>11</v>
      </c>
    </row>
    <row r="5" spans="1:9" ht="77.25">
      <c r="A5" s="55">
        <v>1</v>
      </c>
      <c r="B5" s="56" t="s">
        <v>213</v>
      </c>
      <c r="C5" s="125" t="s">
        <v>214</v>
      </c>
      <c r="D5" s="57" t="s">
        <v>214</v>
      </c>
      <c r="E5" s="57" t="s">
        <v>215</v>
      </c>
      <c r="F5" s="57" t="s">
        <v>121</v>
      </c>
      <c r="G5" s="57" t="s">
        <v>85</v>
      </c>
      <c r="H5" s="58" t="s">
        <v>216</v>
      </c>
      <c r="I5" s="59">
        <v>11550</v>
      </c>
    </row>
    <row r="6" spans="1:9">
      <c r="A6" s="6"/>
      <c r="B6" s="6"/>
      <c r="C6" s="6"/>
      <c r="D6" s="6"/>
      <c r="E6" s="6"/>
      <c r="F6" s="6"/>
      <c r="G6" s="6"/>
      <c r="H6" s="6"/>
      <c r="I6" s="6"/>
    </row>
    <row r="7" spans="1:9">
      <c r="A7" s="258" t="s">
        <v>217</v>
      </c>
      <c r="B7" s="259"/>
      <c r="C7" s="259"/>
      <c r="D7" s="259"/>
      <c r="E7" s="259"/>
      <c r="F7" s="259"/>
      <c r="G7" s="259"/>
      <c r="H7" s="259"/>
      <c r="I7" s="260"/>
    </row>
    <row r="8" spans="1:9" ht="51.75">
      <c r="A8" s="122" t="s">
        <v>3</v>
      </c>
      <c r="B8" s="123" t="s">
        <v>4</v>
      </c>
      <c r="C8" s="123" t="s">
        <v>5</v>
      </c>
      <c r="D8" s="123" t="s">
        <v>6</v>
      </c>
      <c r="E8" s="123" t="s">
        <v>7</v>
      </c>
      <c r="F8" s="123" t="s">
        <v>8</v>
      </c>
      <c r="G8" s="123" t="s">
        <v>9</v>
      </c>
      <c r="H8" s="123" t="s">
        <v>10</v>
      </c>
      <c r="I8" s="124" t="s">
        <v>11</v>
      </c>
    </row>
    <row r="9" spans="1:9" ht="77.25">
      <c r="A9" s="149">
        <v>1</v>
      </c>
      <c r="B9" s="150" t="s">
        <v>218</v>
      </c>
      <c r="C9" s="151" t="s">
        <v>219</v>
      </c>
      <c r="D9" s="152" t="s">
        <v>220</v>
      </c>
      <c r="E9" s="151" t="s">
        <v>221</v>
      </c>
      <c r="F9" s="151" t="s">
        <v>121</v>
      </c>
      <c r="G9" s="151" t="s">
        <v>85</v>
      </c>
      <c r="H9" s="153" t="s">
        <v>216</v>
      </c>
      <c r="I9" s="154">
        <v>11550</v>
      </c>
    </row>
    <row r="10" spans="1:9">
      <c r="A10" s="261" t="s">
        <v>222</v>
      </c>
      <c r="B10" s="262"/>
      <c r="C10" s="262"/>
      <c r="D10" s="262"/>
      <c r="E10" s="262"/>
      <c r="F10" s="262"/>
      <c r="G10" s="262"/>
      <c r="H10" s="262"/>
      <c r="I10" s="263"/>
    </row>
    <row r="11" spans="1:9" ht="39">
      <c r="A11" s="140" t="s">
        <v>3</v>
      </c>
      <c r="B11" s="141" t="s">
        <v>4</v>
      </c>
      <c r="C11" s="141" t="s">
        <v>5</v>
      </c>
      <c r="D11" s="141" t="s">
        <v>6</v>
      </c>
      <c r="E11" s="141" t="s">
        <v>7</v>
      </c>
      <c r="F11" s="141" t="s">
        <v>129</v>
      </c>
      <c r="G11" s="141" t="s">
        <v>9</v>
      </c>
      <c r="H11" s="141" t="s">
        <v>10</v>
      </c>
      <c r="I11" s="142" t="s">
        <v>223</v>
      </c>
    </row>
    <row r="12" spans="1:9" ht="90.75">
      <c r="A12" s="147">
        <v>1</v>
      </c>
      <c r="B12" s="148" t="s">
        <v>224</v>
      </c>
      <c r="C12" s="148" t="s">
        <v>225</v>
      </c>
      <c r="D12" s="148" t="s">
        <v>226</v>
      </c>
      <c r="E12" s="143" t="s">
        <v>227</v>
      </c>
      <c r="F12" s="144" t="s">
        <v>228</v>
      </c>
      <c r="G12" s="144" t="s">
        <v>85</v>
      </c>
      <c r="H12" s="145" t="s">
        <v>229</v>
      </c>
      <c r="I12" s="146" t="s">
        <v>230</v>
      </c>
    </row>
    <row r="14" spans="1:9">
      <c r="A14" s="249" t="s">
        <v>231</v>
      </c>
      <c r="B14" s="250"/>
      <c r="C14" s="250"/>
      <c r="D14" s="250"/>
      <c r="E14" s="250"/>
      <c r="F14" s="250"/>
      <c r="G14" s="250"/>
      <c r="H14" s="250"/>
      <c r="I14" s="251"/>
    </row>
    <row r="15" spans="1:9" ht="39">
      <c r="A15" s="140" t="s">
        <v>3</v>
      </c>
      <c r="B15" s="141" t="s">
        <v>4</v>
      </c>
      <c r="C15" s="141" t="s">
        <v>5</v>
      </c>
      <c r="D15" s="141" t="s">
        <v>6</v>
      </c>
      <c r="E15" s="141" t="s">
        <v>7</v>
      </c>
      <c r="F15" s="141" t="s">
        <v>129</v>
      </c>
      <c r="G15" s="141" t="s">
        <v>9</v>
      </c>
      <c r="H15" s="141" t="s">
        <v>10</v>
      </c>
      <c r="I15" s="142" t="s">
        <v>223</v>
      </c>
    </row>
    <row r="16" spans="1:9" ht="90.75">
      <c r="A16" s="156">
        <v>1</v>
      </c>
      <c r="B16" s="157" t="s">
        <v>232</v>
      </c>
      <c r="C16" s="148" t="s">
        <v>233</v>
      </c>
      <c r="D16" s="148" t="s">
        <v>233</v>
      </c>
      <c r="E16" s="143" t="s">
        <v>227</v>
      </c>
      <c r="F16" s="144" t="s">
        <v>228</v>
      </c>
      <c r="G16" s="155" t="s">
        <v>85</v>
      </c>
      <c r="H16" s="145" t="s">
        <v>234</v>
      </c>
      <c r="I16" s="146" t="s">
        <v>230</v>
      </c>
    </row>
  </sheetData>
  <mergeCells count="5">
    <mergeCell ref="A14:I14"/>
    <mergeCell ref="A1:I1"/>
    <mergeCell ref="A3:I3"/>
    <mergeCell ref="A7:I7"/>
    <mergeCell ref="A10:I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workbookViewId="0">
      <selection activeCell="E6" sqref="E6"/>
    </sheetView>
  </sheetViews>
  <sheetFormatPr defaultRowHeight="15"/>
  <cols>
    <col min="1" max="1" width="13.140625" customWidth="1"/>
    <col min="2" max="2" width="20.42578125" customWidth="1"/>
    <col min="3" max="3" width="27" customWidth="1"/>
    <col min="4" max="4" width="48.7109375" customWidth="1"/>
    <col min="5" max="5" width="22.42578125" customWidth="1"/>
  </cols>
  <sheetData>
    <row r="1" spans="1:5" ht="25.5" customHeight="1">
      <c r="A1" s="264" t="s">
        <v>235</v>
      </c>
      <c r="B1" s="265"/>
      <c r="C1" s="265"/>
      <c r="D1" s="265"/>
      <c r="E1" s="266"/>
    </row>
    <row r="2" spans="1:5" ht="48.75" customHeight="1">
      <c r="A2" s="20" t="s">
        <v>3</v>
      </c>
      <c r="B2" s="2" t="s">
        <v>4</v>
      </c>
      <c r="C2" s="3" t="s">
        <v>236</v>
      </c>
      <c r="D2" s="4" t="s">
        <v>10</v>
      </c>
      <c r="E2" s="21" t="s">
        <v>223</v>
      </c>
    </row>
    <row r="3" spans="1:5" s="179" customFormat="1" ht="79.5" customHeight="1">
      <c r="A3" s="206">
        <v>1</v>
      </c>
      <c r="B3" s="207" t="s">
        <v>237</v>
      </c>
      <c r="C3" s="208" t="s">
        <v>238</v>
      </c>
      <c r="D3" s="1" t="s">
        <v>239</v>
      </c>
      <c r="E3" s="209" t="s">
        <v>240</v>
      </c>
    </row>
    <row r="4" spans="1:5" s="179" customFormat="1" ht="90.75">
      <c r="A4" s="206">
        <v>2</v>
      </c>
      <c r="B4" s="207" t="s">
        <v>241</v>
      </c>
      <c r="C4" s="208" t="s">
        <v>238</v>
      </c>
      <c r="D4" s="1" t="s">
        <v>239</v>
      </c>
      <c r="E4" s="209" t="s">
        <v>242</v>
      </c>
    </row>
    <row r="5" spans="1:5" s="179" customFormat="1" ht="90.75">
      <c r="A5" s="206">
        <v>3</v>
      </c>
      <c r="B5" s="207" t="s">
        <v>243</v>
      </c>
      <c r="C5" s="208" t="s">
        <v>238</v>
      </c>
      <c r="D5" s="1" t="s">
        <v>239</v>
      </c>
      <c r="E5" s="209" t="s">
        <v>244</v>
      </c>
    </row>
    <row r="6" spans="1:5" s="179" customFormat="1" ht="105.75" customHeight="1">
      <c r="A6" s="206">
        <v>4</v>
      </c>
      <c r="B6" s="207" t="s">
        <v>245</v>
      </c>
      <c r="C6" s="1" t="s">
        <v>246</v>
      </c>
      <c r="D6" s="1" t="s">
        <v>247</v>
      </c>
      <c r="E6" s="209" t="s">
        <v>248</v>
      </c>
    </row>
    <row r="7" spans="1:5" s="179" customFormat="1" ht="105.75" customHeight="1">
      <c r="A7" s="210">
        <v>5</v>
      </c>
      <c r="B7" s="211" t="s">
        <v>249</v>
      </c>
      <c r="C7" s="1" t="s">
        <v>246</v>
      </c>
      <c r="D7" s="1" t="s">
        <v>250</v>
      </c>
      <c r="E7" s="209" t="s">
        <v>251</v>
      </c>
    </row>
    <row r="8" spans="1:5">
      <c r="A8" s="267" t="s">
        <v>252</v>
      </c>
      <c r="B8" s="268"/>
      <c r="C8" s="268"/>
      <c r="D8" s="268"/>
      <c r="E8" s="269"/>
    </row>
    <row r="9" spans="1:5" ht="42" customHeight="1">
      <c r="A9" s="28" t="s">
        <v>3</v>
      </c>
      <c r="B9" s="29" t="s">
        <v>4</v>
      </c>
      <c r="C9" s="30" t="s">
        <v>236</v>
      </c>
      <c r="D9" s="31" t="s">
        <v>253</v>
      </c>
      <c r="E9" s="32" t="s">
        <v>223</v>
      </c>
    </row>
    <row r="10" spans="1:5" s="10" customFormat="1" ht="108" customHeight="1">
      <c r="A10" s="33">
        <v>1</v>
      </c>
      <c r="B10" s="34" t="s">
        <v>254</v>
      </c>
      <c r="C10" s="35" t="s">
        <v>246</v>
      </c>
      <c r="D10" s="36" t="s">
        <v>255</v>
      </c>
      <c r="E10" s="37" t="s">
        <v>256</v>
      </c>
    </row>
    <row r="11" spans="1:5" s="10" customFormat="1" ht="105" customHeight="1">
      <c r="A11" s="38">
        <f>SUM(A10,1)</f>
        <v>2</v>
      </c>
      <c r="B11" s="34" t="s">
        <v>257</v>
      </c>
      <c r="C11" s="35" t="s">
        <v>246</v>
      </c>
      <c r="D11" s="36" t="s">
        <v>255</v>
      </c>
      <c r="E11" s="37" t="s">
        <v>256</v>
      </c>
    </row>
    <row r="12" spans="1:5" ht="108" customHeight="1">
      <c r="A12" s="38">
        <f t="shared" ref="A12:A15" si="0">SUM(A11,1)</f>
        <v>3</v>
      </c>
      <c r="B12" s="34" t="s">
        <v>258</v>
      </c>
      <c r="C12" s="35" t="s">
        <v>246</v>
      </c>
      <c r="D12" s="36" t="s">
        <v>259</v>
      </c>
      <c r="E12" s="37" t="s">
        <v>251</v>
      </c>
    </row>
    <row r="13" spans="1:5" ht="109.5" customHeight="1">
      <c r="A13" s="38">
        <f t="shared" si="0"/>
        <v>4</v>
      </c>
      <c r="B13" s="34" t="s">
        <v>260</v>
      </c>
      <c r="C13" s="35" t="s">
        <v>246</v>
      </c>
      <c r="D13" s="36" t="s">
        <v>261</v>
      </c>
      <c r="E13" s="37" t="s">
        <v>251</v>
      </c>
    </row>
    <row r="14" spans="1:5" ht="103.5">
      <c r="A14" s="38">
        <f t="shared" si="0"/>
        <v>5</v>
      </c>
      <c r="B14" s="34" t="s">
        <v>262</v>
      </c>
      <c r="C14" s="35" t="s">
        <v>246</v>
      </c>
      <c r="D14" s="36" t="s">
        <v>261</v>
      </c>
      <c r="E14" s="37" t="s">
        <v>251</v>
      </c>
    </row>
    <row r="15" spans="1:5" ht="103.5">
      <c r="A15" s="39">
        <f t="shared" si="0"/>
        <v>6</v>
      </c>
      <c r="B15" s="40" t="s">
        <v>263</v>
      </c>
      <c r="C15" s="41" t="s">
        <v>246</v>
      </c>
      <c r="D15" s="42" t="s">
        <v>264</v>
      </c>
      <c r="E15" s="43" t="s">
        <v>265</v>
      </c>
    </row>
    <row r="16" spans="1:5" ht="45.75">
      <c r="B16" s="178" t="s">
        <v>266</v>
      </c>
    </row>
    <row r="17" spans="2:2" ht="30.75">
      <c r="B17" s="178" t="s">
        <v>267</v>
      </c>
    </row>
  </sheetData>
  <mergeCells count="2">
    <mergeCell ref="A1:E1"/>
    <mergeCell ref="A8:E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4"/>
  <sheetViews>
    <sheetView topLeftCell="A16" workbookViewId="0">
      <selection activeCell="D32" sqref="D32"/>
    </sheetView>
  </sheetViews>
  <sheetFormatPr defaultRowHeight="15"/>
  <cols>
    <col min="1" max="1" width="9.140625" style="179"/>
    <col min="2" max="2" width="19.42578125" style="179" customWidth="1"/>
    <col min="3" max="3" width="17.85546875" style="199" customWidth="1"/>
    <col min="4" max="4" width="17.42578125" style="179" customWidth="1"/>
    <col min="5" max="5" width="46.7109375" style="179" customWidth="1"/>
    <col min="6" max="6" width="19.85546875" style="199" customWidth="1"/>
    <col min="7" max="16384" width="9.140625" style="179"/>
  </cols>
  <sheetData>
    <row r="1" spans="1:7">
      <c r="A1" s="271" t="s">
        <v>268</v>
      </c>
      <c r="B1" s="272"/>
      <c r="C1" s="272"/>
      <c r="D1" s="272"/>
      <c r="E1" s="272"/>
      <c r="F1" s="273"/>
    </row>
    <row r="2" spans="1:7">
      <c r="A2" s="274" t="s">
        <v>269</v>
      </c>
      <c r="B2" s="275"/>
      <c r="C2" s="275"/>
      <c r="D2" s="275"/>
      <c r="E2" s="275"/>
      <c r="F2" s="276"/>
    </row>
    <row r="3" spans="1:7" ht="48.75" customHeight="1">
      <c r="A3" s="180" t="s">
        <v>3</v>
      </c>
      <c r="B3" s="180" t="s">
        <v>270</v>
      </c>
      <c r="C3" s="180" t="s">
        <v>271</v>
      </c>
      <c r="D3" s="180" t="s">
        <v>272</v>
      </c>
      <c r="E3" s="200" t="s">
        <v>10</v>
      </c>
      <c r="F3" s="180" t="s">
        <v>273</v>
      </c>
    </row>
    <row r="4" spans="1:7" ht="96.75" customHeight="1">
      <c r="A4" s="61">
        <v>1</v>
      </c>
      <c r="B4" s="62" t="s">
        <v>274</v>
      </c>
      <c r="C4" s="5" t="s">
        <v>275</v>
      </c>
      <c r="D4" s="62" t="s">
        <v>276</v>
      </c>
      <c r="E4" s="63" t="s">
        <v>277</v>
      </c>
      <c r="F4" s="181">
        <v>17517.5</v>
      </c>
    </row>
    <row r="5" spans="1:7" ht="79.5" customHeight="1">
      <c r="A5" s="61">
        <v>2</v>
      </c>
      <c r="B5" s="62" t="s">
        <v>278</v>
      </c>
      <c r="C5" s="5" t="s">
        <v>279</v>
      </c>
      <c r="D5" s="62" t="s">
        <v>276</v>
      </c>
      <c r="E5" s="63" t="s">
        <v>280</v>
      </c>
      <c r="F5" s="181">
        <v>7507.5</v>
      </c>
    </row>
    <row r="6" spans="1:7" ht="77.25" customHeight="1">
      <c r="A6" s="61">
        <v>3</v>
      </c>
      <c r="B6" s="62" t="s">
        <v>281</v>
      </c>
      <c r="C6" s="5" t="s">
        <v>282</v>
      </c>
      <c r="D6" s="62" t="s">
        <v>283</v>
      </c>
      <c r="E6" s="63" t="s">
        <v>284</v>
      </c>
      <c r="F6" s="181">
        <v>2502.5</v>
      </c>
    </row>
    <row r="7" spans="1:7" ht="90.75">
      <c r="A7" s="182">
        <v>4</v>
      </c>
      <c r="B7" s="62" t="s">
        <v>285</v>
      </c>
      <c r="C7" s="5" t="s">
        <v>286</v>
      </c>
      <c r="D7" s="62" t="s">
        <v>276</v>
      </c>
      <c r="E7" s="63" t="s">
        <v>284</v>
      </c>
      <c r="F7" s="181">
        <v>2502.5</v>
      </c>
    </row>
    <row r="8" spans="1:7">
      <c r="A8" s="270" t="s">
        <v>287</v>
      </c>
      <c r="B8" s="270"/>
      <c r="C8" s="270"/>
      <c r="D8" s="270"/>
      <c r="E8" s="270"/>
      <c r="F8" s="270"/>
    </row>
    <row r="9" spans="1:7" ht="39">
      <c r="A9" s="180" t="s">
        <v>3</v>
      </c>
      <c r="B9" s="180" t="s">
        <v>270</v>
      </c>
      <c r="C9" s="180" t="s">
        <v>271</v>
      </c>
      <c r="D9" s="180" t="s">
        <v>272</v>
      </c>
      <c r="E9" s="200" t="s">
        <v>10</v>
      </c>
      <c r="F9" s="180" t="s">
        <v>273</v>
      </c>
    </row>
    <row r="10" spans="1:7" ht="81.75" customHeight="1">
      <c r="A10" s="61">
        <v>1</v>
      </c>
      <c r="B10" s="62" t="s">
        <v>288</v>
      </c>
      <c r="C10" s="183" t="s">
        <v>289</v>
      </c>
      <c r="D10" s="184" t="s">
        <v>290</v>
      </c>
      <c r="E10" s="63" t="s">
        <v>291</v>
      </c>
      <c r="F10" s="181">
        <v>2117.5</v>
      </c>
    </row>
    <row r="11" spans="1:7" ht="78.75" customHeight="1">
      <c r="A11" s="61">
        <f>SUM(A10,1)</f>
        <v>2</v>
      </c>
      <c r="B11" s="62" t="s">
        <v>288</v>
      </c>
      <c r="C11" s="183" t="s">
        <v>292</v>
      </c>
      <c r="D11" s="184" t="s">
        <v>293</v>
      </c>
      <c r="E11" s="63" t="s">
        <v>294</v>
      </c>
      <c r="F11" s="181">
        <v>2117.5</v>
      </c>
    </row>
    <row r="12" spans="1:7" ht="84" customHeight="1">
      <c r="A12" s="61">
        <f t="shared" ref="A12:A22" si="0">SUM(A11,1)</f>
        <v>3</v>
      </c>
      <c r="B12" s="62" t="s">
        <v>288</v>
      </c>
      <c r="C12" s="183" t="s">
        <v>295</v>
      </c>
      <c r="D12" s="184" t="s">
        <v>296</v>
      </c>
      <c r="E12" s="63" t="s">
        <v>294</v>
      </c>
      <c r="F12" s="181">
        <v>2117.5</v>
      </c>
    </row>
    <row r="13" spans="1:7" ht="90.75">
      <c r="A13" s="61">
        <f t="shared" si="0"/>
        <v>4</v>
      </c>
      <c r="B13" s="62" t="s">
        <v>288</v>
      </c>
      <c r="C13" s="183" t="s">
        <v>297</v>
      </c>
      <c r="D13" s="184" t="s">
        <v>298</v>
      </c>
      <c r="E13" s="63" t="s">
        <v>294</v>
      </c>
      <c r="F13" s="181">
        <v>2117.5</v>
      </c>
    </row>
    <row r="14" spans="1:7" ht="90.75">
      <c r="A14" s="61">
        <f t="shared" si="0"/>
        <v>5</v>
      </c>
      <c r="B14" s="184" t="s">
        <v>299</v>
      </c>
      <c r="C14" s="183" t="s">
        <v>300</v>
      </c>
      <c r="D14" s="184" t="s">
        <v>301</v>
      </c>
      <c r="E14" s="63" t="s">
        <v>294</v>
      </c>
      <c r="F14" s="181">
        <v>2117.5</v>
      </c>
    </row>
    <row r="15" spans="1:7" ht="90.75">
      <c r="A15" s="61">
        <f>SUM(A14,1)</f>
        <v>6</v>
      </c>
      <c r="B15" s="184" t="s">
        <v>302</v>
      </c>
      <c r="C15" s="185" t="s">
        <v>303</v>
      </c>
      <c r="D15" s="184" t="s">
        <v>301</v>
      </c>
      <c r="E15" s="63" t="s">
        <v>294</v>
      </c>
      <c r="F15" s="181">
        <v>2117.5</v>
      </c>
      <c r="G15" s="181"/>
    </row>
    <row r="16" spans="1:7" ht="90.75">
      <c r="A16" s="61">
        <f t="shared" si="0"/>
        <v>7</v>
      </c>
      <c r="B16" s="201" t="s">
        <v>304</v>
      </c>
      <c r="C16" s="51" t="s">
        <v>305</v>
      </c>
      <c r="D16" s="202" t="s">
        <v>301</v>
      </c>
      <c r="E16" s="63" t="s">
        <v>294</v>
      </c>
      <c r="F16" s="181">
        <v>2117.5</v>
      </c>
    </row>
    <row r="17" spans="1:6" ht="84.75" customHeight="1">
      <c r="A17" s="61">
        <f t="shared" si="0"/>
        <v>8</v>
      </c>
      <c r="B17" s="201" t="s">
        <v>306</v>
      </c>
      <c r="C17" s="62" t="s">
        <v>307</v>
      </c>
      <c r="D17" s="202" t="s">
        <v>308</v>
      </c>
      <c r="E17" s="63" t="s">
        <v>309</v>
      </c>
      <c r="F17" s="181">
        <v>4235</v>
      </c>
    </row>
    <row r="18" spans="1:6" ht="81" customHeight="1">
      <c r="A18" s="61">
        <f t="shared" si="0"/>
        <v>9</v>
      </c>
      <c r="B18" s="201" t="s">
        <v>310</v>
      </c>
      <c r="C18" s="62" t="s">
        <v>311</v>
      </c>
      <c r="D18" s="202" t="s">
        <v>301</v>
      </c>
      <c r="E18" s="63" t="s">
        <v>294</v>
      </c>
      <c r="F18" s="181">
        <v>2117.5</v>
      </c>
    </row>
    <row r="19" spans="1:6" ht="81.75" customHeight="1">
      <c r="A19" s="61">
        <f t="shared" si="0"/>
        <v>10</v>
      </c>
      <c r="B19" s="184" t="s">
        <v>312</v>
      </c>
      <c r="C19" s="203" t="s">
        <v>313</v>
      </c>
      <c r="D19" s="184" t="s">
        <v>301</v>
      </c>
      <c r="E19" s="63" t="s">
        <v>309</v>
      </c>
      <c r="F19" s="186">
        <v>4235</v>
      </c>
    </row>
    <row r="20" spans="1:6" ht="81" customHeight="1">
      <c r="A20" s="61">
        <f t="shared" si="0"/>
        <v>11</v>
      </c>
      <c r="B20" s="184" t="s">
        <v>314</v>
      </c>
      <c r="C20" s="183" t="s">
        <v>315</v>
      </c>
      <c r="D20" s="183" t="s">
        <v>316</v>
      </c>
      <c r="E20" s="63" t="s">
        <v>294</v>
      </c>
      <c r="F20" s="187">
        <v>2117.5</v>
      </c>
    </row>
    <row r="21" spans="1:6" ht="90.75">
      <c r="A21" s="61">
        <f>SUM(A20,1)</f>
        <v>12</v>
      </c>
      <c r="B21" s="184" t="s">
        <v>317</v>
      </c>
      <c r="C21" s="183" t="s">
        <v>318</v>
      </c>
      <c r="D21" s="183" t="s">
        <v>319</v>
      </c>
      <c r="E21" s="63" t="s">
        <v>294</v>
      </c>
      <c r="F21" s="187">
        <v>2117.5</v>
      </c>
    </row>
    <row r="22" spans="1:6" ht="90.75">
      <c r="A22" s="61">
        <f t="shared" si="0"/>
        <v>13</v>
      </c>
      <c r="B22" s="184" t="s">
        <v>320</v>
      </c>
      <c r="C22" s="183" t="s">
        <v>321</v>
      </c>
      <c r="D22" s="183" t="s">
        <v>322</v>
      </c>
      <c r="E22" s="63" t="s">
        <v>294</v>
      </c>
      <c r="F22" s="187">
        <v>2117.5</v>
      </c>
    </row>
    <row r="23" spans="1:6" ht="84" customHeight="1">
      <c r="A23" s="61">
        <v>14</v>
      </c>
      <c r="B23" s="184" t="s">
        <v>323</v>
      </c>
      <c r="C23" s="183" t="s">
        <v>324</v>
      </c>
      <c r="D23" s="183" t="s">
        <v>325</v>
      </c>
      <c r="E23" s="63" t="s">
        <v>294</v>
      </c>
      <c r="F23" s="187">
        <v>2117.5</v>
      </c>
    </row>
    <row r="24" spans="1:6" ht="81" customHeight="1">
      <c r="A24" s="61">
        <f>SUM(A23,1)</f>
        <v>15</v>
      </c>
      <c r="B24" s="184" t="s">
        <v>326</v>
      </c>
      <c r="C24" s="184" t="s">
        <v>327</v>
      </c>
      <c r="D24" s="183" t="s">
        <v>328</v>
      </c>
      <c r="E24" s="63" t="s">
        <v>294</v>
      </c>
      <c r="F24" s="187">
        <v>2117.5</v>
      </c>
    </row>
    <row r="25" spans="1:6" ht="82.5" customHeight="1">
      <c r="A25" s="61">
        <f t="shared" ref="A25:A26" si="1">SUM(A24,1)</f>
        <v>16</v>
      </c>
      <c r="B25" s="62" t="s">
        <v>329</v>
      </c>
      <c r="C25" s="51" t="s">
        <v>330</v>
      </c>
      <c r="D25" s="62" t="s">
        <v>331</v>
      </c>
      <c r="E25" s="63" t="s">
        <v>332</v>
      </c>
      <c r="F25" s="187">
        <v>2117.5</v>
      </c>
    </row>
    <row r="26" spans="1:6" ht="90.75">
      <c r="A26" s="61">
        <f t="shared" si="1"/>
        <v>17</v>
      </c>
      <c r="B26" s="62" t="s">
        <v>333</v>
      </c>
      <c r="C26" s="188" t="s">
        <v>334</v>
      </c>
      <c r="D26" s="62" t="s">
        <v>335</v>
      </c>
      <c r="E26" s="63" t="s">
        <v>294</v>
      </c>
      <c r="F26" s="187">
        <v>2117.5</v>
      </c>
    </row>
    <row r="27" spans="1:6">
      <c r="A27" s="270" t="s">
        <v>336</v>
      </c>
      <c r="B27" s="270"/>
      <c r="C27" s="270"/>
      <c r="D27" s="270"/>
      <c r="E27" s="270"/>
      <c r="F27" s="270"/>
    </row>
    <row r="28" spans="1:6" ht="39">
      <c r="A28" s="189" t="s">
        <v>3</v>
      </c>
      <c r="B28" s="189" t="s">
        <v>270</v>
      </c>
      <c r="C28" s="189" t="s">
        <v>271</v>
      </c>
      <c r="D28" s="189" t="s">
        <v>272</v>
      </c>
      <c r="E28" s="190" t="s">
        <v>10</v>
      </c>
      <c r="F28" s="189" t="s">
        <v>273</v>
      </c>
    </row>
    <row r="29" spans="1:6" ht="90.75">
      <c r="A29" s="182">
        <v>1</v>
      </c>
      <c r="B29" s="62" t="s">
        <v>337</v>
      </c>
      <c r="C29" s="51" t="s">
        <v>338</v>
      </c>
      <c r="D29" s="62" t="s">
        <v>339</v>
      </c>
      <c r="E29" s="63" t="s">
        <v>340</v>
      </c>
      <c r="F29" s="191">
        <v>4235</v>
      </c>
    </row>
    <row r="30" spans="1:6" ht="90.75">
      <c r="A30" s="205">
        <f>SUM(A29,1)</f>
        <v>2</v>
      </c>
      <c r="B30" s="62" t="s">
        <v>341</v>
      </c>
      <c r="C30" s="51" t="s">
        <v>342</v>
      </c>
      <c r="D30" s="62" t="s">
        <v>343</v>
      </c>
      <c r="E30" s="63" t="s">
        <v>340</v>
      </c>
      <c r="F30" s="191">
        <v>4235</v>
      </c>
    </row>
    <row r="31" spans="1:6" ht="90.75">
      <c r="A31" s="205">
        <f t="shared" ref="A31:A37" si="2">SUM(A30,1)</f>
        <v>3</v>
      </c>
      <c r="B31" s="62" t="s">
        <v>329</v>
      </c>
      <c r="C31" s="51" t="s">
        <v>330</v>
      </c>
      <c r="D31" s="62" t="s">
        <v>331</v>
      </c>
      <c r="E31" s="63" t="s">
        <v>340</v>
      </c>
      <c r="F31" s="191"/>
    </row>
    <row r="32" spans="1:6" ht="214.5" customHeight="1">
      <c r="A32" s="205">
        <f t="shared" si="2"/>
        <v>4</v>
      </c>
      <c r="B32" s="62" t="s">
        <v>344</v>
      </c>
      <c r="C32" s="5" t="s">
        <v>345</v>
      </c>
      <c r="D32" s="62" t="s">
        <v>346</v>
      </c>
      <c r="E32" s="63" t="s">
        <v>347</v>
      </c>
      <c r="F32" s="193">
        <v>63525</v>
      </c>
    </row>
    <row r="33" spans="1:6" ht="90.75">
      <c r="A33" s="205">
        <f t="shared" si="2"/>
        <v>5</v>
      </c>
      <c r="B33" s="62" t="s">
        <v>344</v>
      </c>
      <c r="C33" s="5" t="s">
        <v>348</v>
      </c>
      <c r="D33" s="62" t="s">
        <v>339</v>
      </c>
      <c r="E33" s="63" t="s">
        <v>349</v>
      </c>
      <c r="F33" s="193">
        <v>16940</v>
      </c>
    </row>
    <row r="34" spans="1:6" ht="90.75">
      <c r="A34" s="205">
        <f t="shared" si="2"/>
        <v>6</v>
      </c>
      <c r="B34" s="111" t="s">
        <v>344</v>
      </c>
      <c r="C34" s="5" t="s">
        <v>350</v>
      </c>
      <c r="D34" s="62" t="s">
        <v>351</v>
      </c>
      <c r="E34" s="63" t="s">
        <v>352</v>
      </c>
      <c r="F34" s="193">
        <v>8470</v>
      </c>
    </row>
    <row r="35" spans="1:6" ht="90.75">
      <c r="A35" s="205">
        <f t="shared" si="2"/>
        <v>7</v>
      </c>
      <c r="B35" s="62" t="s">
        <v>344</v>
      </c>
      <c r="C35" s="194" t="s">
        <v>353</v>
      </c>
      <c r="D35" s="62" t="s">
        <v>354</v>
      </c>
      <c r="E35" s="63" t="s">
        <v>340</v>
      </c>
      <c r="F35" s="193">
        <v>4235</v>
      </c>
    </row>
    <row r="36" spans="1:6" ht="81.75" customHeight="1">
      <c r="A36" s="205">
        <f t="shared" si="2"/>
        <v>8</v>
      </c>
      <c r="B36" s="62" t="s">
        <v>344</v>
      </c>
      <c r="C36" s="195" t="s">
        <v>355</v>
      </c>
      <c r="D36" s="184" t="s">
        <v>356</v>
      </c>
      <c r="E36" s="63" t="s">
        <v>357</v>
      </c>
      <c r="F36" s="193">
        <v>12705</v>
      </c>
    </row>
    <row r="37" spans="1:6" ht="90.75">
      <c r="A37" s="205">
        <f t="shared" si="2"/>
        <v>9</v>
      </c>
      <c r="B37" s="62" t="s">
        <v>358</v>
      </c>
      <c r="C37" s="196" t="s">
        <v>359</v>
      </c>
      <c r="D37" s="184" t="s">
        <v>360</v>
      </c>
      <c r="E37" s="63" t="s">
        <v>340</v>
      </c>
      <c r="F37" s="193">
        <v>4235</v>
      </c>
    </row>
    <row r="38" spans="1:6">
      <c r="A38" s="192"/>
      <c r="B38" s="197"/>
      <c r="C38" s="188"/>
      <c r="D38" s="192"/>
      <c r="E38" s="192"/>
      <c r="F38" s="198"/>
    </row>
    <row r="39" spans="1:6">
      <c r="A39" s="192"/>
      <c r="B39" s="192"/>
      <c r="C39" s="188"/>
      <c r="D39" s="192"/>
      <c r="E39" s="192"/>
      <c r="F39" s="198"/>
    </row>
    <row r="40" spans="1:6">
      <c r="A40" s="192"/>
      <c r="B40" s="192"/>
      <c r="C40" s="188"/>
      <c r="D40" s="192"/>
      <c r="E40" s="192"/>
      <c r="F40" s="198"/>
    </row>
    <row r="41" spans="1:6">
      <c r="A41" s="192"/>
      <c r="B41" s="192"/>
      <c r="C41" s="188"/>
      <c r="D41" s="192"/>
      <c r="E41" s="192"/>
      <c r="F41" s="198"/>
    </row>
    <row r="42" spans="1:6">
      <c r="A42" s="192"/>
      <c r="B42" s="192"/>
      <c r="C42" s="188"/>
      <c r="D42" s="192"/>
      <c r="E42" s="192"/>
      <c r="F42" s="198"/>
    </row>
    <row r="43" spans="1:6">
      <c r="A43" s="192"/>
      <c r="B43" s="192"/>
      <c r="C43" s="188"/>
      <c r="D43" s="192"/>
      <c r="E43" s="192"/>
      <c r="F43" s="198"/>
    </row>
    <row r="44" spans="1:6">
      <c r="A44" s="192"/>
      <c r="B44" s="192"/>
      <c r="C44" s="188"/>
      <c r="D44" s="192"/>
      <c r="E44" s="192"/>
      <c r="F44" s="198"/>
    </row>
  </sheetData>
  <mergeCells count="4">
    <mergeCell ref="A27:F27"/>
    <mergeCell ref="A8:F8"/>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Christiana Attrams</dc:creator>
  <cp:keywords/>
  <dc:description/>
  <cp:lastModifiedBy/>
  <cp:revision/>
  <dcterms:created xsi:type="dcterms:W3CDTF">2024-11-22T14:00:54Z</dcterms:created>
  <dcterms:modified xsi:type="dcterms:W3CDTF">2024-12-23T09:31:18Z</dcterms:modified>
  <cp:category/>
  <cp:contentStatus/>
</cp:coreProperties>
</file>